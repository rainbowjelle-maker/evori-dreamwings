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sawicki/Documents/WORK/CovnetryUniv/Business Environment/CUW-401-ForStudents/"/>
    </mc:Choice>
  </mc:AlternateContent>
  <xr:revisionPtr revIDLastSave="0" documentId="8_{99CADC52-1EFF-094A-B887-C2D2678F1901}" xr6:coauthVersionLast="47" xr6:coauthVersionMax="47" xr10:uidLastSave="{00000000-0000-0000-0000-000000000000}"/>
  <bookViews>
    <workbookView xWindow="3080" yWindow="2100" windowWidth="27840" windowHeight="16740" xr2:uid="{4E7570B0-1D84-D24B-B73B-AF017A5C4AFD}"/>
  </bookViews>
  <sheets>
    <sheet name="STAKEHOLDER Mngm" sheetId="2" r:id="rId1"/>
  </sheets>
  <externalReferences>
    <externalReference r:id="rId2"/>
  </externalReferences>
  <definedNames>
    <definedName name="_xlnm._FilterDatabase" localSheetId="0" hidden="1">'STAKEHOLDER Mngm'!$A$7:$Y$17</definedName>
    <definedName name="Team">[1]Sheet2!$A$2:$A$15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N17" i="2" s="1"/>
  <c r="L16" i="2"/>
  <c r="N16" i="2" s="1"/>
  <c r="L15" i="2"/>
  <c r="N15" i="2" s="1"/>
  <c r="L14" i="2"/>
  <c r="N14" i="2" s="1"/>
  <c r="L13" i="2"/>
  <c r="N13" i="2" s="1"/>
  <c r="L12" i="2"/>
  <c r="N12" i="2" s="1"/>
  <c r="L11" i="2"/>
  <c r="N11" i="2" s="1"/>
  <c r="L10" i="2"/>
  <c r="G3" i="2" s="1"/>
  <c r="L9" i="2"/>
  <c r="N9" i="2" s="1"/>
  <c r="L8" i="2"/>
  <c r="N8" i="2" s="1"/>
  <c r="N10" i="2" l="1"/>
  <c r="G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<sst xmlns="http://schemas.openxmlformats.org/spreadsheetml/2006/main" count="203" uniqueCount="159">
  <si>
    <t>Last Update</t>
  </si>
  <si>
    <t>Overall Stakeholder Temperatur</t>
  </si>
  <si>
    <t>Next Update</t>
  </si>
  <si>
    <t xml:space="preserve">Overall Stakeholder Impact </t>
  </si>
  <si>
    <t>STAKEHOLDERS</t>
  </si>
  <si>
    <t>ASSESMENT</t>
  </si>
  <si>
    <t>COMMITMENT</t>
  </si>
  <si>
    <t>DESCRIPTION</t>
  </si>
  <si>
    <t>MANAGEMENT STRATEGY</t>
  </si>
  <si>
    <t>Pic</t>
  </si>
  <si>
    <t>Name</t>
  </si>
  <si>
    <t>Role/Position</t>
  </si>
  <si>
    <t>Partners</t>
  </si>
  <si>
    <t>Internal Relations</t>
  </si>
  <si>
    <t>Contact</t>
  </si>
  <si>
    <t>Type</t>
  </si>
  <si>
    <t>Status</t>
  </si>
  <si>
    <t>Interest Level</t>
  </si>
  <si>
    <t>Influence Level</t>
  </si>
  <si>
    <t>Project Impact</t>
  </si>
  <si>
    <t xml:space="preserve">Current Commitment </t>
  </si>
  <si>
    <t>Temperature</t>
  </si>
  <si>
    <t>Expectations</t>
  </si>
  <si>
    <t>Personal Goals</t>
  </si>
  <si>
    <t>Potential Impact on Project</t>
  </si>
  <si>
    <t>What activities directly involve or impact the stakeholder?</t>
  </si>
  <si>
    <t>Management Strategy</t>
  </si>
  <si>
    <t>Communication Plan</t>
  </si>
  <si>
    <t>Meeting Name</t>
  </si>
  <si>
    <t xml:space="preserve">Meeting Frequency </t>
  </si>
  <si>
    <t>Meeting Schedule</t>
  </si>
  <si>
    <t>Expected Deliverables</t>
  </si>
  <si>
    <t>Document Owner</t>
  </si>
  <si>
    <t xml:space="preserve">Marta Len </t>
  </si>
  <si>
    <t>VP of Delivery</t>
  </si>
  <si>
    <t>Oversees Program Manager; coordinates with COO for resource approvals; collaborates with DBT on prioritization and strategic alignment.</t>
  </si>
  <si>
    <r>
      <t>Email: marlen@company.com
Mobile: (+55) 000 000 111
Working Hours:</t>
    </r>
    <r>
      <rPr>
        <b/>
        <sz val="12"/>
        <color theme="1"/>
        <rFont val="Aptos Narrow"/>
        <scheme val="minor"/>
      </rPr>
      <t xml:space="preserve"> 8:00-16:00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Whatsapp /Teams /Email</t>
    </r>
  </si>
  <si>
    <t>Internal</t>
  </si>
  <si>
    <t>Active</t>
  </si>
  <si>
    <t>On-time, on-budget delivery aligned with strategic objectives</t>
  </si>
  <si>
    <t>1. Highly motivated to ensure successful delivery for career visibility;
2. Values team recognition and project-wide collaboration.</t>
  </si>
  <si>
    <t>Direct influence over resources, priorities, and escalations</t>
  </si>
  <si>
    <t>Resource allocation, strategic alignment, escalations</t>
  </si>
  <si>
    <t>Maintain close alignment on strategic objectives; involve in resource planning discussions; ensure escalations are resolved promptly.</t>
  </si>
  <si>
    <t>Quartely executive reports; ad-hoc escalation meetings</t>
  </si>
  <si>
    <t>EXECUTIVES SYNC CALL</t>
  </si>
  <si>
    <t>QUARTERLY</t>
  </si>
  <si>
    <t>First Tuesday 14:30 CET</t>
  </si>
  <si>
    <r>
      <t>Executive Summary:</t>
    </r>
    <r>
      <rPr>
        <sz val="12"/>
        <color theme="1"/>
        <rFont val="Aptos Narrow"/>
        <family val="2"/>
        <charset val="238"/>
        <scheme val="minor"/>
      </rPr>
      <t xml:space="preserve"> Key updates, risks, mitigations; </t>
    </r>
    <r>
      <rPr>
        <b/>
        <sz val="12"/>
        <color theme="1"/>
        <rFont val="Aptos Narrow"/>
        <family val="2"/>
        <charset val="238"/>
        <scheme val="minor"/>
      </rPr>
      <t>Budget Performance Report</t>
    </r>
  </si>
  <si>
    <t>Program Manager (Delivery-side)</t>
  </si>
  <si>
    <t xml:space="preserve">Thomas Williams </t>
  </si>
  <si>
    <t>Chief Operating Officer</t>
  </si>
  <si>
    <t>Holds formal authority over resource allocation; works closely with the Business Sponsor to ensure operational alignment; informally influences strategic priorities.</t>
  </si>
  <si>
    <r>
      <t>Email:</t>
    </r>
    <r>
      <rPr>
        <sz val="12"/>
        <color theme="1"/>
        <rFont val="Aptos Narrow"/>
        <family val="2"/>
        <charset val="238"/>
        <scheme val="minor"/>
      </rPr>
      <t xml:space="preserve"> twilliams@client.com
Mobile: (+55) 666 777 444
Working Hours: </t>
    </r>
    <r>
      <rPr>
        <b/>
        <sz val="12"/>
        <color theme="1"/>
        <rFont val="Aptos Narrow"/>
        <scheme val="minor"/>
      </rPr>
      <t>11:00-19:00 (CET)</t>
    </r>
    <r>
      <rPr>
        <sz val="12"/>
        <color theme="1"/>
        <rFont val="Aptos Narrow"/>
        <family val="2"/>
        <charset val="238"/>
        <scheme val="minor"/>
      </rPr>
      <t xml:space="preserve">
</t>
    </r>
    <r>
      <rPr>
        <sz val="12"/>
        <color theme="1"/>
        <rFont val="Aptos Narrow"/>
        <scheme val="minor"/>
      </rPr>
      <t xml:space="preserve">Contact: </t>
    </r>
    <r>
      <rPr>
        <b/>
        <sz val="12"/>
        <color theme="1"/>
        <rFont val="Aptos Narrow"/>
        <scheme val="minor"/>
      </rPr>
      <t>Whatsapp / Teams / Email</t>
    </r>
  </si>
  <si>
    <t>External</t>
  </si>
  <si>
    <t>Project enhances operational efficiency and profitability</t>
  </si>
  <si>
    <t>1. Seeks to enhance reputation by delivering high-value projects;
2. Recently considering retirement and prefers minimal disruptions.</t>
  </si>
  <si>
    <t>Can approve or halt the project; allocate or withdraw resources</t>
  </si>
  <si>
    <t>Approval of budget; resource allocation; review of project impact on operations</t>
  </si>
  <si>
    <t>Focus on high-level strategic value and minimal disruption; avoid overloading with details; frame updates in terms of operational efficiency.</t>
  </si>
  <si>
    <t>Quarterly executive summaries; participate in key milestone reviews</t>
  </si>
  <si>
    <r>
      <t>One-pager report:</t>
    </r>
    <r>
      <rPr>
        <sz val="12"/>
        <color theme="1"/>
        <rFont val="Aptos Narrow"/>
        <family val="2"/>
        <charset val="238"/>
        <scheme val="minor"/>
      </rPr>
      <t xml:space="preserve"> Project status, traffic lights (risk, budget, timeline), achievements, blockers; </t>
    </r>
    <r>
      <rPr>
        <b/>
        <sz val="12"/>
        <color theme="1"/>
        <rFont val="Aptos Narrow"/>
        <family val="2"/>
        <charset val="238"/>
        <scheme val="minor"/>
      </rPr>
      <t>Resource Allocation Summary</t>
    </r>
  </si>
  <si>
    <t>VP of Delivery (Delivery-side)</t>
  </si>
  <si>
    <t xml:space="preserve">Autumn Silva </t>
  </si>
  <si>
    <t>Program Manager</t>
  </si>
  <si>
    <t>Reports to VP of Delivery; collaborates formally with Project Manager and DBT; influences solution direction via Solution Architect.</t>
  </si>
  <si>
    <r>
      <t xml:space="preserve">Email: autsilv@company.com
Mobile: (+49) 000 333 444
Working Hours: </t>
    </r>
    <r>
      <rPr>
        <b/>
        <sz val="12"/>
        <color theme="1"/>
        <rFont val="Aptos Narrow"/>
        <scheme val="minor"/>
      </rPr>
      <t>8:00-16:00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Whatsapp / Teams / Email</t>
    </r>
  </si>
  <si>
    <t>Efficient inter-project coordination; program-level alignment</t>
  </si>
  <si>
    <t>1. Motivated by delivering a well-coordinated program to enhance reputation;
2. Recently taken on additional responsibilities across other projects.</t>
  </si>
  <si>
    <t>Direct influence over program resources and interdependencies</t>
  </si>
  <si>
    <t>Coordination of interdependencies; managing cross-project risks</t>
  </si>
  <si>
    <t>Provide clear prioritization and scheduling; streamline communications to avoid overload; acknowledge program-level contributions.</t>
  </si>
  <si>
    <t>Monthly interanal steering committee meetings; and steering sync with client</t>
  </si>
  <si>
    <t>STEERING SYNC CALL</t>
  </si>
  <si>
    <t>MONTHLY</t>
  </si>
  <si>
    <t>First Wednesday 14:30 CET</t>
  </si>
  <si>
    <r>
      <t>Program Status Report:</t>
    </r>
    <r>
      <rPr>
        <sz val="12"/>
        <color theme="1"/>
        <rFont val="Aptos Narrow"/>
        <family val="2"/>
        <charset val="238"/>
        <scheme val="minor"/>
      </rPr>
      <t xml:space="preserve"> Dependencies, risks, milestones; </t>
    </r>
    <r>
      <rPr>
        <b/>
        <sz val="12"/>
        <color theme="1"/>
        <rFont val="Aptos Narrow"/>
        <family val="2"/>
        <charset val="238"/>
        <scheme val="minor"/>
      </rPr>
      <t>Interdependency Tracking Document</t>
    </r>
  </si>
  <si>
    <t xml:space="preserve"> Martin Stachursky </t>
  </si>
  <si>
    <t xml:space="preserve">Director of Business Transformation </t>
  </si>
  <si>
    <t>Formally reports to COO; collaborates with Business Sponsor on transformation initiatives; influences IT Enterprise Architect and Project Manager.</t>
  </si>
  <si>
    <r>
      <t xml:space="preserve">Email: mstachursky@client.com
Mobile: (+55) 111 333 888
Working Hours: </t>
    </r>
    <r>
      <rPr>
        <b/>
        <sz val="12"/>
        <color theme="1"/>
        <rFont val="Aptos Narrow"/>
        <scheme val="minor"/>
      </rPr>
      <t>11:00-19:00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Whatsapp / Teams / Email</t>
    </r>
  </si>
  <si>
    <t>Alignment with transformation initiatives; ROI realization</t>
  </si>
  <si>
    <t>1. Seeks a promotion tied to successful project outcomes; 
2. Highly focused on timely delivery and measurable ROI.</t>
  </si>
  <si>
    <t>Influence over strategic direction; resource prioritization</t>
  </si>
  <si>
    <t>Program alignment; review of transformation milestones; prioritization of deliverables</t>
  </si>
  <si>
    <t>Engage closely in strategic decisions; provide regular updates demonstrating ROI progress; highlight alignment with company goals.</t>
  </si>
  <si>
    <t>Monthly strategy meetings; detailed progress reports</t>
  </si>
  <si>
    <r>
      <t>Transformation Update Report:</t>
    </r>
    <r>
      <rPr>
        <sz val="12"/>
        <color theme="1"/>
        <rFont val="Aptos Narrow"/>
        <family val="2"/>
        <charset val="238"/>
        <scheme val="minor"/>
      </rPr>
      <t xml:space="preserve"> Status on strategic alignment, major risks, milestones, ROI; </t>
    </r>
    <r>
      <rPr>
        <b/>
        <sz val="12"/>
        <color theme="1"/>
        <rFont val="Aptos Narrow"/>
        <family val="2"/>
        <charset val="238"/>
        <scheme val="minor"/>
      </rPr>
      <t>Risk Register with mitigation actions</t>
    </r>
  </si>
  <si>
    <t xml:space="preserve">Gabriela Sousa </t>
  </si>
  <si>
    <t>Business Sponsor</t>
  </si>
  <si>
    <t>Collaborates formally with COO on strategic alignment; has informal influence over IT Operations Manager and IT Enterprise Architect.</t>
  </si>
  <si>
    <r>
      <t xml:space="preserve">Email: gsousa@client.com
Mobile: (+55) 000 333 444
Working Hours: </t>
    </r>
    <r>
      <rPr>
        <b/>
        <sz val="12"/>
        <color theme="1"/>
        <rFont val="Aptos Narrow"/>
        <scheme val="minor"/>
      </rPr>
      <t xml:space="preserve">11:00-19:00 (CET)
</t>
    </r>
    <r>
      <rPr>
        <sz val="12"/>
        <color theme="1"/>
        <rFont val="Aptos Narrow"/>
        <family val="2"/>
        <charset val="238"/>
        <scheme val="minor"/>
      </rPr>
      <t xml:space="preserve">Contact: </t>
    </r>
    <r>
      <rPr>
        <b/>
        <sz val="12"/>
        <color theme="1"/>
        <rFont val="Aptos Narrow"/>
        <scheme val="minor"/>
      </rPr>
      <t>Whatsapp / Teams / Email</t>
    </r>
  </si>
  <si>
    <t>Improved sales processes; increased sales revenue</t>
  </si>
  <si>
    <t>1. Ambitious and sees project success as an opportunity for internal recognition and team development;
2.Frustrated with resource constraints.</t>
  </si>
  <si>
    <t>Can champion or obstruct the project; influence user adoption</t>
  </si>
  <si>
    <t>Requirements validation; process design approval; UAT coordination</t>
  </si>
  <si>
    <t>Ensure consistent engagement in decision-making; provide visibility into resource allocation and celebrate incremental project milestones.</t>
  </si>
  <si>
    <t>Weekly status meetings; decision-making sessions</t>
  </si>
  <si>
    <t>PROJECT SYNC CALL</t>
  </si>
  <si>
    <t>WEEKLY</t>
  </si>
  <si>
    <t>Thursday 14:30 CET</t>
  </si>
  <si>
    <r>
      <t>Weekly Progress Dashboard:</t>
    </r>
    <r>
      <rPr>
        <sz val="12"/>
        <color theme="1"/>
        <rFont val="Aptos Narrow"/>
        <family val="2"/>
        <charset val="238"/>
        <scheme val="minor"/>
      </rPr>
      <t xml:space="preserve"> Achievements, blockers, risks, actions; </t>
    </r>
    <r>
      <rPr>
        <b/>
        <sz val="12"/>
        <color theme="1"/>
        <rFont val="Aptos Narrow"/>
        <family val="2"/>
        <charset val="238"/>
        <scheme val="minor"/>
      </rPr>
      <t>UAT Summary Report</t>
    </r>
  </si>
  <si>
    <t>Project Manager (Delivery-side)</t>
  </si>
  <si>
    <t xml:space="preserve">Tobias Mueller </t>
  </si>
  <si>
    <t>Project Manager</t>
  </si>
  <si>
    <t>Collaborates closely with Program Manager and Solution Architect; manages interactions with Business Sponsor and COO for issue resolution.</t>
  </si>
  <si>
    <r>
      <t xml:space="preserve">Email: tobmuel@company.com
Mobile: (+49) 123 456 789
Working Hours: </t>
    </r>
    <r>
      <rPr>
        <b/>
        <sz val="12"/>
        <color theme="1"/>
        <rFont val="Aptos Narrow"/>
        <scheme val="minor"/>
      </rPr>
      <t>8:00-16:00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Whatsapp / Teams / Email</t>
    </r>
  </si>
  <si>
    <t>Successful project delivery; stakeholder satisfaction</t>
  </si>
  <si>
    <t>1. Focused on building delivery credibility; 
2. Perceives risks tied to delays as threats to career trajectory.</t>
  </si>
  <si>
    <t>Directly manages project execution and deliverables</t>
  </si>
  <si>
    <t>Day-to-day execution; risk and issue tracking; stakeholder engagement</t>
  </si>
  <si>
    <t>Empower with decision-making authority; provide clear pathways to escalate issues; ensure public recognition for delivery milestones.</t>
  </si>
  <si>
    <t>Daily team updates; weekly status reports</t>
  </si>
  <si>
    <t xml:space="preserve">Mark Erikson </t>
  </si>
  <si>
    <t>IT Enterprise Architect (ITEA)</t>
  </si>
  <si>
    <t>Collaborates formally with IT Operations Manager and Technical Lead; ensures technical designs align with overall architecture.</t>
  </si>
  <si>
    <r>
      <t xml:space="preserve">Email: merikson@client.com
Working Hours: </t>
    </r>
    <r>
      <rPr>
        <b/>
        <sz val="12"/>
        <color theme="1"/>
        <rFont val="Aptos Narrow"/>
        <scheme val="minor"/>
      </rPr>
      <t>11:00-19:00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Teams /Email</t>
    </r>
  </si>
  <si>
    <t>Technical alignment; seamless integration</t>
  </si>
  <si>
    <t>1. Recently promoted and under pressure to prove competence;
2. Perceives the project as a platform to demonstrate expertise.</t>
  </si>
  <si>
    <t>Approval of technical designs; impact on integration success</t>
  </si>
  <si>
    <t>Technical design reviews; integration planning; infrastructure alignment</t>
  </si>
  <si>
    <t>Involve in key technical decisions; acknowledge contributions publicly; provide structured opportunities to showcase expertise.</t>
  </si>
  <si>
    <t>Regular technical design meetings; documentation sharing</t>
  </si>
  <si>
    <r>
      <t>Technical Design Document:</t>
    </r>
    <r>
      <rPr>
        <sz val="12"/>
        <color theme="1"/>
        <rFont val="Aptos Narrow"/>
        <family val="2"/>
        <charset val="238"/>
        <scheme val="minor"/>
      </rPr>
      <t xml:space="preserve"> Architecture diagrams, technical specifications; </t>
    </r>
    <r>
      <rPr>
        <b/>
        <sz val="12"/>
        <color theme="1"/>
        <rFont val="Aptos Narrow"/>
        <family val="2"/>
        <charset val="238"/>
        <scheme val="minor"/>
      </rPr>
      <t>Integration Plan</t>
    </r>
  </si>
  <si>
    <t>Solution Architect (Delivery-side)</t>
  </si>
  <si>
    <t>Ana Faris</t>
  </si>
  <si>
    <t>Solution Architect</t>
  </si>
  <si>
    <t>Reports to Project Manager; collaborates with IT Enterprise Architect and Technical Lead; ensures alignment with DBT and Program Manager.</t>
  </si>
  <si>
    <r>
      <t xml:space="preserve">Email: anafar@company.com
Working Hours: </t>
    </r>
    <r>
      <rPr>
        <b/>
        <sz val="12"/>
        <color theme="1"/>
        <rFont val="Aptos Narrow"/>
        <scheme val="minor"/>
      </rPr>
      <t>8:00-16:00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Teams/e-Mail</t>
    </r>
  </si>
  <si>
    <t>Technical solution meets business and technical needs</t>
  </si>
  <si>
    <t>1. Recently transitioned to the role; 
2. Highly motivated to deliver innovative, impactful solutions for future career opportunities.</t>
  </si>
  <si>
    <t>Direct influence on design feasibility and implementation success</t>
  </si>
  <si>
    <t>Designing the architecture; reviewing integration and infrastructure needs</t>
  </si>
  <si>
    <t>Provide structured feedback channels for innovation; involve in visible design presentations; acknowledge technical contributions publicly.</t>
  </si>
  <si>
    <t>Weekly design reviews; architecture documentation updates</t>
  </si>
  <si>
    <r>
      <t>Solution Architecture Review:</t>
    </r>
    <r>
      <rPr>
        <sz val="12"/>
        <color theme="1"/>
        <rFont val="Aptos Narrow"/>
        <family val="2"/>
        <charset val="238"/>
        <scheme val="minor"/>
      </rPr>
      <t xml:space="preserve"> Designs, reviews; </t>
    </r>
    <r>
      <rPr>
        <b/>
        <sz val="12"/>
        <color theme="1"/>
        <rFont val="Aptos Narrow"/>
        <family val="2"/>
        <charset val="238"/>
        <scheme val="minor"/>
      </rPr>
      <t>Change Requests Log</t>
    </r>
  </si>
  <si>
    <t xml:space="preserve">Adam Smith </t>
  </si>
  <si>
    <t>Tech Lead</t>
  </si>
  <si>
    <t>Reports to Project Manager; collaborates with IT Operations Manager and Solution Architect for execution; leads the development team.</t>
  </si>
  <si>
    <r>
      <t xml:space="preserve">Email: adasmi@company.com
Working Hours: </t>
    </r>
    <r>
      <rPr>
        <b/>
        <sz val="12"/>
        <color theme="1"/>
        <rFont val="Aptos Narrow"/>
        <scheme val="minor"/>
      </rPr>
      <t>8:00-16:00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Teams/e-Mail</t>
    </r>
  </si>
  <si>
    <t>Quality technical execution; issue resolution</t>
  </si>
  <si>
    <t>1. Managing workload stress due to increased team responsibilities; 
2. Balancing technical and leadership challenges.</t>
  </si>
  <si>
    <t>Manages technical teams; resolves blockers in implementation</t>
  </si>
  <si>
    <t>Development and configuration; resolving technical blockers</t>
  </si>
  <si>
    <t>Offer resources to alleviate pressure; provide targeted recognition for efforts; involve in strategic technical discussions for empowerment.</t>
  </si>
  <si>
    <t>Daily stand-ups; weekly technical updates</t>
  </si>
  <si>
    <r>
      <t>Technical Progress Report:</t>
    </r>
    <r>
      <rPr>
        <sz val="12"/>
        <color theme="1"/>
        <rFont val="Aptos Narrow"/>
        <family val="2"/>
        <charset val="238"/>
        <scheme val="minor"/>
      </rPr>
      <t xml:space="preserve"> Development status, blockers; </t>
    </r>
    <r>
      <rPr>
        <b/>
        <sz val="12"/>
        <color theme="1"/>
        <rFont val="Aptos Narrow"/>
        <family val="2"/>
        <charset val="238"/>
        <scheme val="minor"/>
      </rPr>
      <t>Code Review Notes</t>
    </r>
  </si>
  <si>
    <t>Technical Lead (Delivery-side)</t>
  </si>
  <si>
    <t xml:space="preserve">Olivia Davis </t>
  </si>
  <si>
    <t>IT Operations Manager (ITOM)</t>
  </si>
  <si>
    <t>Reports to COO; collaborates with IT Enterprise Architect and Technical Lead on technical readiness.</t>
  </si>
  <si>
    <r>
      <t xml:space="preserve">Email: odavis@client.com
Working Hours: </t>
    </r>
    <r>
      <rPr>
        <b/>
        <sz val="12"/>
        <color theme="1"/>
        <rFont val="Aptos Narrow"/>
        <scheme val="minor"/>
      </rPr>
      <t>11:00-19:00 (CET)</t>
    </r>
    <r>
      <rPr>
        <sz val="12"/>
        <color theme="1"/>
        <rFont val="Aptos Narrow"/>
        <family val="2"/>
        <charset val="238"/>
        <scheme val="minor"/>
      </rPr>
      <t xml:space="preserve">
Contact: </t>
    </r>
    <r>
      <rPr>
        <b/>
        <sz val="12"/>
        <color theme="1"/>
        <rFont val="Aptos Narrow"/>
        <scheme val="minor"/>
      </rPr>
      <t>Teams /Email</t>
    </r>
  </si>
  <si>
    <t>Minimal disruption; operational readiness</t>
  </si>
  <si>
    <t>1. Concerned about resource overload due to staff shortages;
2.Views the project as a risk to operational stability.</t>
  </si>
  <si>
    <t>Influence on system integration; support during implementation</t>
  </si>
  <si>
    <t>Testing support; review of operational impact; readiness for system go-live</t>
  </si>
  <si>
    <t>Mitigate workload concerns; emphasize long-term operational benefits; involve early in planning to address resource and risk issues.</t>
  </si>
  <si>
    <t>Weekly technical updates; involve in testing and deployment</t>
  </si>
  <si>
    <r>
      <t>Operational Readiness Checklist:</t>
    </r>
    <r>
      <rPr>
        <sz val="12"/>
        <color theme="1"/>
        <rFont val="Aptos Narrow"/>
        <family val="2"/>
        <charset val="238"/>
        <scheme val="minor"/>
      </rPr>
      <t xml:space="preserve"> Deployment dependencies, risks; </t>
    </r>
    <r>
      <rPr>
        <b/>
        <sz val="12"/>
        <color theme="1"/>
        <rFont val="Aptos Narrow"/>
        <family val="2"/>
        <charset val="238"/>
        <scheme val="minor"/>
      </rPr>
      <t>Go-Live Approval Document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</si>
</sst>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21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16"/>
      <color theme="0"/>
      <name val="Aptos Narrow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sz val="12"/>
      <color theme="5" tint="-0.499984740745262"/>
      <name val="Century Gothic"/>
      <family val="1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theme="0"/>
      <name val="Century Gothic"/>
      <family val="1"/>
    </font>
    <font>
      <sz val="12"/>
      <color theme="0"/>
      <name val="Century Gothic"/>
      <family val="1"/>
    </font>
    <font>
      <sz val="11"/>
      <color theme="1"/>
      <name val="Aptos Narrow"/>
      <family val="2"/>
      <charset val="238"/>
      <scheme val="minor"/>
    </font>
    <font>
      <b/>
      <sz val="10"/>
      <color theme="1"/>
      <name val="Century Gothic"/>
      <family val="1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Century Gothic"/>
      <family val="1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49DE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CD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000000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0" borderId="0"/>
    <xf numFmtId="0" fontId="14" fillId="0" borderId="0"/>
  </cellStyleXfs>
  <cellXfs count="117"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4" fontId="7" fillId="5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 wrapText="1"/>
    </xf>
    <xf numFmtId="175" fontId="9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14" fontId="7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6" borderId="2" xfId="3" applyFont="1" applyFill="1" applyBorder="1" applyAlignment="1">
      <alignment horizontal="left" vertical="center"/>
    </xf>
    <xf numFmtId="0" fontId="12" fillId="6" borderId="3" xfId="3" applyFont="1" applyFill="1" applyBorder="1" applyAlignment="1">
      <alignment horizontal="center" vertical="center" wrapText="1"/>
    </xf>
    <xf numFmtId="0" fontId="12" fillId="6" borderId="4" xfId="3" applyFont="1" applyFill="1" applyBorder="1" applyAlignment="1">
      <alignment horizontal="center" vertical="center" wrapText="1"/>
    </xf>
    <xf numFmtId="0" fontId="6" fillId="2" borderId="2" xfId="1" applyFont="1" applyBorder="1" applyAlignment="1">
      <alignment horizontal="left" vertical="center" indent="1"/>
    </xf>
    <xf numFmtId="0" fontId="6" fillId="2" borderId="3" xfId="1" applyFont="1" applyBorder="1" applyAlignment="1">
      <alignment horizontal="left" vertical="center" indent="1"/>
    </xf>
    <xf numFmtId="0" fontId="6" fillId="2" borderId="4" xfId="1" applyFont="1" applyBorder="1" applyAlignment="1">
      <alignment horizontal="left" vertical="center" indent="1"/>
    </xf>
    <xf numFmtId="0" fontId="6" fillId="7" borderId="2" xfId="1" applyFont="1" applyFill="1" applyBorder="1" applyAlignment="1">
      <alignment horizontal="left" vertical="center" indent="1"/>
    </xf>
    <xf numFmtId="0" fontId="6" fillId="7" borderId="5" xfId="1" applyFont="1" applyFill="1" applyBorder="1" applyAlignment="1">
      <alignment horizontal="left" vertical="center" indent="1"/>
    </xf>
    <xf numFmtId="0" fontId="6" fillId="8" borderId="6" xfId="2" applyFont="1" applyFill="1" applyBorder="1" applyAlignment="1">
      <alignment horizontal="left" vertical="center" indent="1"/>
    </xf>
    <xf numFmtId="0" fontId="6" fillId="8" borderId="7" xfId="2" applyFont="1" applyFill="1" applyBorder="1" applyAlignment="1">
      <alignment horizontal="left" vertical="center" indent="1"/>
    </xf>
    <xf numFmtId="0" fontId="6" fillId="8" borderId="8" xfId="2" applyFont="1" applyFill="1" applyBorder="1" applyAlignment="1">
      <alignment horizontal="left" vertical="center" indent="1"/>
    </xf>
    <xf numFmtId="0" fontId="6" fillId="5" borderId="6" xfId="2" applyFont="1" applyFill="1" applyBorder="1" applyAlignment="1">
      <alignment horizontal="left" vertical="center" indent="1"/>
    </xf>
    <xf numFmtId="0" fontId="6" fillId="5" borderId="7" xfId="2" applyFont="1" applyFill="1" applyBorder="1" applyAlignment="1">
      <alignment horizontal="left" vertical="center" indent="1"/>
    </xf>
    <xf numFmtId="0" fontId="6" fillId="5" borderId="8" xfId="2" applyFont="1" applyFill="1" applyBorder="1" applyAlignment="1">
      <alignment horizontal="left" vertical="center" indent="1"/>
    </xf>
    <xf numFmtId="0" fontId="13" fillId="6" borderId="9" xfId="3" applyFont="1" applyFill="1" applyBorder="1" applyAlignment="1">
      <alignment horizontal="center" vertical="center" wrapText="1"/>
    </xf>
    <xf numFmtId="0" fontId="13" fillId="6" borderId="0" xfId="3" applyFont="1" applyFill="1" applyAlignment="1">
      <alignment horizontal="center" vertical="center" wrapText="1"/>
    </xf>
    <xf numFmtId="0" fontId="13" fillId="6" borderId="10" xfId="3" applyFont="1" applyFill="1" applyBorder="1" applyAlignment="1">
      <alignment horizontal="center" vertical="center" wrapText="1"/>
    </xf>
    <xf numFmtId="0" fontId="7" fillId="9" borderId="11" xfId="3" applyFont="1" applyFill="1" applyBorder="1" applyAlignment="1">
      <alignment horizontal="center" vertical="center" wrapText="1"/>
    </xf>
    <xf numFmtId="0" fontId="7" fillId="9" borderId="12" xfId="3" applyFont="1" applyFill="1" applyBorder="1" applyAlignment="1">
      <alignment horizontal="center" vertical="center" wrapText="1"/>
    </xf>
    <xf numFmtId="0" fontId="7" fillId="9" borderId="13" xfId="3" applyFont="1" applyFill="1" applyBorder="1" applyAlignment="1">
      <alignment horizontal="center" vertical="center" wrapText="1"/>
    </xf>
    <xf numFmtId="0" fontId="7" fillId="7" borderId="11" xfId="3" applyFont="1" applyFill="1" applyBorder="1" applyAlignment="1">
      <alignment horizontal="center" vertical="center" wrapText="1"/>
    </xf>
    <xf numFmtId="0" fontId="7" fillId="7" borderId="13" xfId="3" applyFont="1" applyFill="1" applyBorder="1" applyAlignment="1">
      <alignment horizontal="center" vertical="center" wrapText="1"/>
    </xf>
    <xf numFmtId="0" fontId="3" fillId="10" borderId="14" xfId="4" applyFont="1" applyFill="1" applyBorder="1" applyAlignment="1">
      <alignment horizontal="center" vertical="center" wrapText="1"/>
    </xf>
    <xf numFmtId="0" fontId="3" fillId="10" borderId="15" xfId="4" applyFont="1" applyFill="1" applyBorder="1" applyAlignment="1">
      <alignment horizontal="center" vertical="center" wrapText="1"/>
    </xf>
    <xf numFmtId="0" fontId="3" fillId="10" borderId="16" xfId="4" applyFont="1" applyFill="1" applyBorder="1" applyAlignment="1">
      <alignment horizontal="center" vertical="center" wrapText="1"/>
    </xf>
    <xf numFmtId="0" fontId="3" fillId="5" borderId="11" xfId="4" applyFont="1" applyFill="1" applyBorder="1" applyAlignment="1">
      <alignment horizontal="center" vertical="center" wrapText="1"/>
    </xf>
    <xf numFmtId="0" fontId="3" fillId="5" borderId="12" xfId="4" applyFont="1" applyFill="1" applyBorder="1" applyAlignment="1">
      <alignment horizontal="center" vertical="center" wrapText="1"/>
    </xf>
    <xf numFmtId="0" fontId="3" fillId="5" borderId="13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6" borderId="9" xfId="3" applyFont="1" applyFill="1" applyBorder="1" applyAlignment="1">
      <alignment horizontal="center" vertical="center" wrapText="1"/>
    </xf>
    <xf numFmtId="0" fontId="12" fillId="6" borderId="0" xfId="3" applyFont="1" applyFill="1" applyAlignment="1">
      <alignment horizontal="center" vertical="center" wrapText="1"/>
    </xf>
    <xf numFmtId="0" fontId="12" fillId="6" borderId="10" xfId="3" applyFont="1" applyFill="1" applyBorder="1" applyAlignment="1">
      <alignment horizontal="center" vertical="center" wrapText="1"/>
    </xf>
    <xf numFmtId="0" fontId="15" fillId="9" borderId="17" xfId="3" applyFont="1" applyFill="1" applyBorder="1" applyAlignment="1">
      <alignment horizontal="center" vertical="center" wrapText="1"/>
    </xf>
    <xf numFmtId="0" fontId="15" fillId="9" borderId="18" xfId="3" applyFont="1" applyFill="1" applyBorder="1" applyAlignment="1">
      <alignment horizontal="center" vertical="center" wrapText="1"/>
    </xf>
    <xf numFmtId="0" fontId="15" fillId="9" borderId="19" xfId="3" applyFont="1" applyFill="1" applyBorder="1" applyAlignment="1">
      <alignment horizontal="center" vertical="center" wrapText="1"/>
    </xf>
    <xf numFmtId="0" fontId="15" fillId="7" borderId="17" xfId="3" applyFont="1" applyFill="1" applyBorder="1" applyAlignment="1">
      <alignment horizontal="center" vertical="center" wrapText="1"/>
    </xf>
    <xf numFmtId="0" fontId="15" fillId="7" borderId="19" xfId="3" applyFont="1" applyFill="1" applyBorder="1" applyAlignment="1">
      <alignment horizontal="center" vertical="center" wrapText="1"/>
    </xf>
    <xf numFmtId="0" fontId="16" fillId="10" borderId="20" xfId="4" applyFont="1" applyFill="1" applyBorder="1" applyAlignment="1">
      <alignment horizontal="center" vertical="center" wrapText="1"/>
    </xf>
    <xf numFmtId="0" fontId="16" fillId="10" borderId="21" xfId="4" applyFont="1" applyFill="1" applyBorder="1" applyAlignment="1">
      <alignment horizontal="center" vertical="center" wrapText="1"/>
    </xf>
    <xf numFmtId="0" fontId="16" fillId="10" borderId="22" xfId="4" applyFont="1" applyFill="1" applyBorder="1" applyAlignment="1">
      <alignment horizontal="center" vertical="center" wrapText="1"/>
    </xf>
    <xf numFmtId="0" fontId="17" fillId="5" borderId="9" xfId="3" applyFont="1" applyFill="1" applyBorder="1" applyAlignment="1">
      <alignment horizontal="center" vertical="center" wrapText="1"/>
    </xf>
    <xf numFmtId="0" fontId="17" fillId="5" borderId="0" xfId="3" applyFont="1" applyFill="1" applyAlignment="1">
      <alignment horizontal="center" vertical="center" wrapText="1"/>
    </xf>
    <xf numFmtId="0" fontId="17" fillId="5" borderId="10" xfId="3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24" xfId="0" quotePrefix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0" fillId="0" borderId="33" xfId="0" quotePrefix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left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5">
    <cellStyle name="20% — akcent 5" xfId="2" builtinId="46"/>
    <cellStyle name="Dobry" xfId="1" builtinId="26"/>
    <cellStyle name="Normalny" xfId="0" builtinId="0"/>
    <cellStyle name="Normalny 2" xfId="4" xr:uid="{456B6331-E87A-AF44-9AAF-54B96D9F08E4}"/>
    <cellStyle name="Normalny 2 2" xfId="3" xr:uid="{F92A173F-FAD6-B64B-8559-220158565ACF}"/>
  </cellStyles>
  <dxfs count="22">
    <dxf>
      <font>
        <b/>
        <i val="0"/>
        <color theme="0"/>
      </font>
      <numFmt numFmtId="174" formatCode="&quot;Hot&quot;"/>
      <fill>
        <patternFill>
          <fgColor auto="1"/>
          <bgColor rgb="FFC00000"/>
        </patternFill>
      </fill>
    </dxf>
    <dxf>
      <numFmt numFmtId="173" formatCode="&quot;Supportive&quot;"/>
    </dxf>
    <dxf>
      <numFmt numFmtId="172" formatCode="&quot;Neutral&quot;"/>
    </dxf>
    <dxf>
      <numFmt numFmtId="171" formatCode="&quot;Resistant&quot;"/>
    </dxf>
    <dxf>
      <font>
        <color theme="6" tint="-0.499984740745262"/>
      </font>
      <numFmt numFmtId="170" formatCode="&quot;Low&quot;"/>
      <fill>
        <patternFill>
          <fgColor auto="1"/>
          <bgColor rgb="FF92D050"/>
        </patternFill>
      </fill>
    </dxf>
    <dxf>
      <font>
        <color theme="5" tint="-0.499984740745262"/>
      </font>
      <numFmt numFmtId="169" formatCode="&quot;Medium&quot;"/>
      <fill>
        <patternFill>
          <fgColor auto="1"/>
          <bgColor rgb="FFFFC000"/>
        </patternFill>
      </fill>
    </dxf>
    <dxf>
      <font>
        <color rgb="FFC00000"/>
      </font>
      <numFmt numFmtId="168" formatCode="&quot;High&quot;"/>
      <fill>
        <patternFill>
          <fgColor auto="1"/>
          <bgColor rgb="FFFF7E79"/>
        </patternFill>
      </fill>
    </dxf>
    <dxf>
      <font>
        <color theme="0"/>
      </font>
      <numFmt numFmtId="167" formatCode="&quot;Critical&quot;"/>
      <fill>
        <patternFill>
          <fgColor auto="1"/>
          <bgColor rgb="FFC00000"/>
        </patternFill>
      </fill>
    </dxf>
    <dxf>
      <numFmt numFmtId="170" formatCode="&quot;Low&quot;"/>
    </dxf>
    <dxf>
      <numFmt numFmtId="168" formatCode="&quot;High&quot;"/>
    </dxf>
    <dxf>
      <numFmt numFmtId="169" formatCode="&quot;Medium&quot;"/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fgColor theme="3" tint="0.749961851863155"/>
          <bgColor theme="3" tint="0.749961851863155"/>
        </patternFill>
      </fill>
    </dxf>
    <dxf>
      <font>
        <color theme="8"/>
      </font>
      <fill>
        <patternFill>
          <fgColor theme="8" tint="-0.24994659260841701"/>
          <bgColor theme="8" tint="0.59996337778862885"/>
        </patternFill>
      </fill>
    </dxf>
    <dxf>
      <font>
        <color theme="6" tint="-0.499984740745262"/>
      </font>
      <numFmt numFmtId="170" formatCode="&quot;Low&quot;"/>
      <fill>
        <patternFill>
          <fgColor auto="1"/>
          <bgColor rgb="FF92D050"/>
        </patternFill>
      </fill>
    </dxf>
    <dxf>
      <font>
        <color theme="5" tint="-0.499984740745262"/>
      </font>
      <numFmt numFmtId="169" formatCode="&quot;Medium&quot;"/>
      <fill>
        <patternFill>
          <fgColor auto="1"/>
          <bgColor rgb="FFFFC000"/>
        </patternFill>
      </fill>
    </dxf>
    <dxf>
      <font>
        <color rgb="FFC00000"/>
      </font>
      <numFmt numFmtId="168" formatCode="&quot;High&quot;"/>
      <fill>
        <patternFill>
          <fgColor auto="1"/>
          <bgColor rgb="FFFF7E79"/>
        </patternFill>
      </fill>
    </dxf>
    <dxf>
      <font>
        <color theme="0"/>
      </font>
      <numFmt numFmtId="167" formatCode="&quot;Critical&quot;"/>
      <fill>
        <patternFill>
          <fgColor auto="1"/>
          <bgColor rgb="FFC00000"/>
        </patternFill>
      </fill>
    </dxf>
    <dxf>
      <font>
        <color theme="3" tint="0.499984740745262"/>
      </font>
      <numFmt numFmtId="166" formatCode="&quot;Cold&quot;"/>
      <fill>
        <patternFill>
          <bgColor theme="3" tint="0.749961851863155"/>
        </patternFill>
      </fill>
    </dxf>
    <dxf>
      <font>
        <color theme="6" tint="-0.24994659260841701"/>
      </font>
      <numFmt numFmtId="165" formatCode="&quot;Cool&quot;"/>
      <fill>
        <patternFill>
          <fgColor auto="1"/>
          <bgColor theme="6" tint="0.59996337778862885"/>
        </patternFill>
      </fill>
    </dxf>
    <dxf>
      <font>
        <color theme="5" tint="-0.499984740745262"/>
      </font>
      <numFmt numFmtId="164" formatCode="&quot;Warm&quot;"/>
      <fill>
        <patternFill>
          <fgColor auto="1"/>
          <bgColor rgb="FFFFC000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welsawicki/Downloads/Skill%20Matrix.xlsx" TargetMode="External"/><Relationship Id="rId1" Type="http://schemas.openxmlformats.org/officeDocument/2006/relationships/externalLinkPath" Target="/Users/pawelsawicki/Downloads/Skill%20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rkusz1"/>
      <sheetName val="Sheet2"/>
    </sheetNames>
    <sheetDataSet>
      <sheetData sheetId="0"/>
      <sheetData sheetId="1"/>
      <sheetData sheetId="2">
        <row r="2">
          <cell r="A2" t="str">
            <v>Team Member A</v>
          </cell>
        </row>
        <row r="3">
          <cell r="A3" t="str">
            <v>Team Member B</v>
          </cell>
        </row>
        <row r="4">
          <cell r="A4" t="str">
            <v>Team Member C</v>
          </cell>
        </row>
        <row r="5">
          <cell r="A5" t="str">
            <v>Team Member D</v>
          </cell>
        </row>
        <row r="6">
          <cell r="A6" t="str">
            <v>Team Member E</v>
          </cell>
        </row>
        <row r="7">
          <cell r="A7" t="str">
            <v>Team Member F</v>
          </cell>
        </row>
        <row r="8">
          <cell r="A8" t="str">
            <v>Team Member G</v>
          </cell>
        </row>
        <row r="9">
          <cell r="A9" t="str">
            <v>Team Member H</v>
          </cell>
        </row>
        <row r="10">
          <cell r="A10" t="str">
            <v>Team Member I</v>
          </cell>
        </row>
        <row r="11">
          <cell r="A11" t="str">
            <v>Team Member J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BD7D-3C08-D54E-AECD-CD2B0AF42B0C}">
  <dimension ref="A1:AZ103"/>
  <sheetViews>
    <sheetView tabSelected="1" zoomScale="86" zoomScaleNormal="100" workbookViewId="0">
      <selection activeCell="G10" sqref="G10"/>
    </sheetView>
  </sheetViews>
  <sheetFormatPr baseColWidth="10" defaultRowHeight="16" x14ac:dyDescent="0.2"/>
  <cols>
    <col min="1" max="1" width="2.1640625" style="55" customWidth="1"/>
    <col min="2" max="2" width="12.33203125" style="75" customWidth="1"/>
    <col min="3" max="3" width="20.6640625" style="75" customWidth="1"/>
    <col min="4" max="4" width="13.1640625" style="40" customWidth="1"/>
    <col min="5" max="5" width="8.33203125" style="40" bestFit="1" customWidth="1"/>
    <col min="6" max="6" width="40.83203125" style="40" customWidth="1"/>
    <col min="7" max="7" width="35.5" style="75" customWidth="1"/>
    <col min="8" max="9" width="11.83203125" style="75" customWidth="1"/>
    <col min="10" max="11" width="12.83203125" style="75" customWidth="1"/>
    <col min="12" max="12" width="9.83203125" style="75" customWidth="1"/>
    <col min="13" max="14" width="13.83203125" style="75" customWidth="1"/>
    <col min="15" max="15" width="27" style="40" customWidth="1"/>
    <col min="16" max="20" width="40.83203125" style="40" customWidth="1"/>
    <col min="21" max="23" width="20.1640625" style="40" customWidth="1"/>
    <col min="24" max="25" width="40.83203125" style="40" customWidth="1"/>
    <col min="26" max="16384" width="10.83203125" style="75"/>
  </cols>
  <sheetData>
    <row r="1" spans="1:52" s="1" customFormat="1" ht="11" customHeight="1" x14ac:dyDescent="0.2">
      <c r="D1" s="2"/>
      <c r="E1" s="2"/>
      <c r="F1" s="2"/>
      <c r="G1" s="3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52" s="1" customFormat="1" ht="25" customHeight="1" x14ac:dyDescent="0.2">
      <c r="B2" s="4" t="s">
        <v>0</v>
      </c>
      <c r="C2" s="5">
        <v>45624</v>
      </c>
      <c r="D2" s="2"/>
      <c r="F2" s="6" t="s">
        <v>1</v>
      </c>
      <c r="G2" s="7">
        <f>AVERAGE(N8:N17)</f>
        <v>9</v>
      </c>
      <c r="P2" s="8"/>
      <c r="Q2" s="2"/>
      <c r="R2" s="2"/>
      <c r="S2" s="2"/>
      <c r="T2" s="2"/>
      <c r="U2" s="2"/>
      <c r="V2" s="2"/>
      <c r="W2" s="2"/>
      <c r="X2" s="2"/>
      <c r="Y2" s="2"/>
    </row>
    <row r="3" spans="1:52" s="1" customFormat="1" ht="25" customHeight="1" x14ac:dyDescent="0.2">
      <c r="B3" s="9" t="s">
        <v>2</v>
      </c>
      <c r="C3" s="10">
        <v>45645</v>
      </c>
      <c r="D3" s="2"/>
      <c r="F3" s="6" t="s">
        <v>3</v>
      </c>
      <c r="G3" s="11">
        <f>AVERAGE(L8:L17)</f>
        <v>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52" s="1" customFormat="1" ht="14" customHeight="1" thickBot="1" x14ac:dyDescent="0.25">
      <c r="D4" s="2"/>
      <c r="E4" s="2"/>
      <c r="F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52" s="1" customFormat="1" ht="16" customHeight="1" x14ac:dyDescent="0.2">
      <c r="B5" s="12" t="s">
        <v>4</v>
      </c>
      <c r="C5" s="13"/>
      <c r="D5" s="13"/>
      <c r="E5" s="13"/>
      <c r="F5" s="13"/>
      <c r="G5" s="13"/>
      <c r="H5" s="13"/>
      <c r="I5" s="14"/>
      <c r="J5" s="15" t="s">
        <v>5</v>
      </c>
      <c r="K5" s="16"/>
      <c r="L5" s="17"/>
      <c r="M5" s="18" t="s">
        <v>6</v>
      </c>
      <c r="N5" s="19"/>
      <c r="O5" s="20" t="s">
        <v>7</v>
      </c>
      <c r="P5" s="21"/>
      <c r="Q5" s="21"/>
      <c r="R5" s="22"/>
      <c r="S5" s="23" t="s">
        <v>8</v>
      </c>
      <c r="T5" s="24"/>
      <c r="U5" s="24"/>
      <c r="V5" s="24"/>
      <c r="W5" s="24"/>
      <c r="X5" s="24"/>
      <c r="Y5" s="25"/>
    </row>
    <row r="6" spans="1:52" s="40" customFormat="1" ht="34" x14ac:dyDescent="0.2">
      <c r="A6" s="8"/>
      <c r="B6" s="26" t="s">
        <v>9</v>
      </c>
      <c r="C6" s="27" t="s">
        <v>10</v>
      </c>
      <c r="D6" s="27" t="s">
        <v>11</v>
      </c>
      <c r="E6" s="27" t="s">
        <v>12</v>
      </c>
      <c r="F6" s="27" t="s">
        <v>13</v>
      </c>
      <c r="G6" s="27" t="s">
        <v>14</v>
      </c>
      <c r="H6" s="27" t="s">
        <v>15</v>
      </c>
      <c r="I6" s="28" t="s">
        <v>16</v>
      </c>
      <c r="J6" s="29" t="s">
        <v>17</v>
      </c>
      <c r="K6" s="30" t="s">
        <v>18</v>
      </c>
      <c r="L6" s="31" t="s">
        <v>19</v>
      </c>
      <c r="M6" s="32" t="s">
        <v>20</v>
      </c>
      <c r="N6" s="33" t="s">
        <v>21</v>
      </c>
      <c r="O6" s="34" t="s">
        <v>22</v>
      </c>
      <c r="P6" s="35" t="s">
        <v>23</v>
      </c>
      <c r="Q6" s="35" t="s">
        <v>24</v>
      </c>
      <c r="R6" s="36" t="s">
        <v>25</v>
      </c>
      <c r="S6" s="37" t="s">
        <v>26</v>
      </c>
      <c r="T6" s="38" t="s">
        <v>27</v>
      </c>
      <c r="U6" s="38" t="s">
        <v>28</v>
      </c>
      <c r="V6" s="38" t="s">
        <v>29</v>
      </c>
      <c r="W6" s="38" t="s">
        <v>30</v>
      </c>
      <c r="X6" s="38" t="s">
        <v>31</v>
      </c>
      <c r="Y6" s="39" t="s">
        <v>32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s="40" customFormat="1" x14ac:dyDescent="0.2">
      <c r="A7" s="8"/>
      <c r="B7" s="41"/>
      <c r="C7" s="42"/>
      <c r="D7" s="42"/>
      <c r="E7" s="42"/>
      <c r="F7" s="42"/>
      <c r="G7" s="42"/>
      <c r="H7" s="42"/>
      <c r="I7" s="43"/>
      <c r="J7" s="44"/>
      <c r="K7" s="45"/>
      <c r="L7" s="46"/>
      <c r="M7" s="47"/>
      <c r="N7" s="48"/>
      <c r="O7" s="49"/>
      <c r="P7" s="50"/>
      <c r="Q7" s="50"/>
      <c r="R7" s="51"/>
      <c r="S7" s="52"/>
      <c r="T7" s="53"/>
      <c r="U7" s="53"/>
      <c r="V7" s="53"/>
      <c r="W7" s="53"/>
      <c r="X7" s="53"/>
      <c r="Y7" s="54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ht="70" customHeight="1" x14ac:dyDescent="0.2">
      <c r="B8" s="56" t="e" vm="1">
        <v>#VALUE!</v>
      </c>
      <c r="C8" s="57" t="s">
        <v>33</v>
      </c>
      <c r="D8" s="58" t="s">
        <v>34</v>
      </c>
      <c r="E8" s="59">
        <v>1</v>
      </c>
      <c r="F8" s="60" t="s">
        <v>35</v>
      </c>
      <c r="G8" s="61" t="s">
        <v>36</v>
      </c>
      <c r="H8" s="62" t="s">
        <v>37</v>
      </c>
      <c r="I8" s="63" t="s">
        <v>38</v>
      </c>
      <c r="J8" s="56">
        <v>3</v>
      </c>
      <c r="K8" s="62">
        <v>3</v>
      </c>
      <c r="L8" s="64">
        <f t="shared" ref="L8:L17" si="0">J8*K8</f>
        <v>9</v>
      </c>
      <c r="M8" s="56">
        <v>1</v>
      </c>
      <c r="N8" s="65">
        <f t="shared" ref="N8:N17" si="1">M8*L8</f>
        <v>9</v>
      </c>
      <c r="O8" s="66" t="s">
        <v>39</v>
      </c>
      <c r="P8" s="67" t="s">
        <v>40</v>
      </c>
      <c r="Q8" s="60" t="s">
        <v>41</v>
      </c>
      <c r="R8" s="68" t="s">
        <v>42</v>
      </c>
      <c r="S8" s="69" t="s">
        <v>43</v>
      </c>
      <c r="T8" s="70" t="s">
        <v>44</v>
      </c>
      <c r="U8" s="71" t="s">
        <v>45</v>
      </c>
      <c r="V8" s="72" t="s">
        <v>46</v>
      </c>
      <c r="W8" s="72" t="s">
        <v>47</v>
      </c>
      <c r="X8" s="73" t="s">
        <v>48</v>
      </c>
      <c r="Y8" s="74" t="s">
        <v>49</v>
      </c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ht="70" customHeight="1" x14ac:dyDescent="0.2">
      <c r="B9" s="76" t="e" vm="1">
        <v>#VALUE!</v>
      </c>
      <c r="C9" s="77" t="s">
        <v>50</v>
      </c>
      <c r="D9" s="78" t="s">
        <v>51</v>
      </c>
      <c r="E9" s="79">
        <v>1</v>
      </c>
      <c r="F9" s="80" t="s">
        <v>52</v>
      </c>
      <c r="G9" s="81" t="s">
        <v>53</v>
      </c>
      <c r="H9" s="82" t="s">
        <v>54</v>
      </c>
      <c r="I9" s="64" t="s">
        <v>38</v>
      </c>
      <c r="J9" s="76">
        <v>1</v>
      </c>
      <c r="K9" s="82">
        <v>3</v>
      </c>
      <c r="L9" s="64">
        <f t="shared" si="0"/>
        <v>3</v>
      </c>
      <c r="M9" s="76">
        <v>2</v>
      </c>
      <c r="N9" s="83">
        <f t="shared" si="1"/>
        <v>6</v>
      </c>
      <c r="O9" s="84" t="s">
        <v>55</v>
      </c>
      <c r="P9" s="85" t="s">
        <v>56</v>
      </c>
      <c r="Q9" s="80" t="s">
        <v>57</v>
      </c>
      <c r="R9" s="86" t="s">
        <v>58</v>
      </c>
      <c r="S9" s="87" t="s">
        <v>59</v>
      </c>
      <c r="T9" s="88" t="s">
        <v>60</v>
      </c>
      <c r="U9" s="89" t="s">
        <v>45</v>
      </c>
      <c r="V9" s="40" t="s">
        <v>46</v>
      </c>
      <c r="W9" s="40" t="s">
        <v>47</v>
      </c>
      <c r="X9" s="90" t="s">
        <v>61</v>
      </c>
      <c r="Y9" s="91" t="s">
        <v>62</v>
      </c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ht="70" customHeight="1" x14ac:dyDescent="0.2">
      <c r="B10" s="76" t="e" vm="1">
        <v>#VALUE!</v>
      </c>
      <c r="C10" s="77" t="s">
        <v>63</v>
      </c>
      <c r="D10" s="78" t="s">
        <v>64</v>
      </c>
      <c r="E10" s="79">
        <v>2</v>
      </c>
      <c r="F10" s="80" t="s">
        <v>65</v>
      </c>
      <c r="G10" s="92" t="s">
        <v>66</v>
      </c>
      <c r="H10" s="82" t="s">
        <v>37</v>
      </c>
      <c r="I10" s="64" t="s">
        <v>38</v>
      </c>
      <c r="J10" s="76">
        <v>3</v>
      </c>
      <c r="K10" s="82">
        <v>3</v>
      </c>
      <c r="L10" s="64">
        <f t="shared" si="0"/>
        <v>9</v>
      </c>
      <c r="M10" s="76">
        <v>2</v>
      </c>
      <c r="N10" s="83">
        <f t="shared" si="1"/>
        <v>18</v>
      </c>
      <c r="O10" s="84" t="s">
        <v>67</v>
      </c>
      <c r="P10" s="80" t="s">
        <v>68</v>
      </c>
      <c r="Q10" s="80" t="s">
        <v>69</v>
      </c>
      <c r="R10" s="86" t="s">
        <v>70</v>
      </c>
      <c r="S10" s="87" t="s">
        <v>71</v>
      </c>
      <c r="T10" s="88" t="s">
        <v>72</v>
      </c>
      <c r="U10" s="89" t="s">
        <v>73</v>
      </c>
      <c r="V10" s="40" t="s">
        <v>74</v>
      </c>
      <c r="W10" s="40" t="s">
        <v>75</v>
      </c>
      <c r="X10" s="90" t="s">
        <v>76</v>
      </c>
      <c r="Y10" s="91" t="s">
        <v>49</v>
      </c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</row>
    <row r="11" spans="1:52" ht="70" customHeight="1" x14ac:dyDescent="0.2">
      <c r="B11" s="76" t="e" vm="1">
        <v>#VALUE!</v>
      </c>
      <c r="C11" s="77" t="s">
        <v>77</v>
      </c>
      <c r="D11" s="78" t="s">
        <v>78</v>
      </c>
      <c r="E11" s="79">
        <v>2</v>
      </c>
      <c r="F11" s="80" t="s">
        <v>79</v>
      </c>
      <c r="G11" s="40" t="s">
        <v>80</v>
      </c>
      <c r="H11" s="82" t="s">
        <v>54</v>
      </c>
      <c r="I11" s="64" t="s">
        <v>38</v>
      </c>
      <c r="J11" s="76">
        <v>3</v>
      </c>
      <c r="K11" s="82">
        <v>3</v>
      </c>
      <c r="L11" s="64">
        <f t="shared" si="0"/>
        <v>9</v>
      </c>
      <c r="M11" s="76">
        <v>1</v>
      </c>
      <c r="N11" s="83">
        <f t="shared" si="1"/>
        <v>9</v>
      </c>
      <c r="O11" s="84" t="s">
        <v>81</v>
      </c>
      <c r="P11" s="80" t="s">
        <v>82</v>
      </c>
      <c r="Q11" s="80" t="s">
        <v>83</v>
      </c>
      <c r="R11" s="86" t="s">
        <v>84</v>
      </c>
      <c r="S11" s="87" t="s">
        <v>85</v>
      </c>
      <c r="T11" s="88" t="s">
        <v>86</v>
      </c>
      <c r="U11" s="89" t="s">
        <v>73</v>
      </c>
      <c r="V11" s="40" t="s">
        <v>74</v>
      </c>
      <c r="W11" s="40" t="s">
        <v>75</v>
      </c>
      <c r="X11" s="90" t="s">
        <v>87</v>
      </c>
      <c r="Y11" s="91" t="s">
        <v>49</v>
      </c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</row>
    <row r="12" spans="1:52" ht="70" customHeight="1" x14ac:dyDescent="0.2">
      <c r="B12" s="76" t="e" vm="1">
        <v>#VALUE!</v>
      </c>
      <c r="C12" s="77" t="s">
        <v>88</v>
      </c>
      <c r="D12" s="78" t="s">
        <v>89</v>
      </c>
      <c r="E12" s="79">
        <v>3</v>
      </c>
      <c r="F12" s="80" t="s">
        <v>90</v>
      </c>
      <c r="G12" s="40" t="s">
        <v>91</v>
      </c>
      <c r="H12" s="82" t="s">
        <v>54</v>
      </c>
      <c r="I12" s="64" t="s">
        <v>38</v>
      </c>
      <c r="J12" s="76">
        <v>3</v>
      </c>
      <c r="K12" s="82">
        <v>3</v>
      </c>
      <c r="L12" s="64">
        <f t="shared" si="0"/>
        <v>9</v>
      </c>
      <c r="M12" s="76">
        <v>1</v>
      </c>
      <c r="N12" s="83">
        <f t="shared" si="1"/>
        <v>9</v>
      </c>
      <c r="O12" s="84" t="s">
        <v>92</v>
      </c>
      <c r="P12" s="80" t="s">
        <v>93</v>
      </c>
      <c r="Q12" s="80" t="s">
        <v>94</v>
      </c>
      <c r="R12" s="86" t="s">
        <v>95</v>
      </c>
      <c r="S12" s="87" t="s">
        <v>96</v>
      </c>
      <c r="T12" s="88" t="s">
        <v>97</v>
      </c>
      <c r="U12" s="89" t="s">
        <v>98</v>
      </c>
      <c r="V12" s="40" t="s">
        <v>99</v>
      </c>
      <c r="W12" s="40" t="s">
        <v>100</v>
      </c>
      <c r="X12" s="90" t="s">
        <v>101</v>
      </c>
      <c r="Y12" s="91" t="s">
        <v>102</v>
      </c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</row>
    <row r="13" spans="1:52" ht="70" customHeight="1" x14ac:dyDescent="0.2">
      <c r="B13" s="76" t="e" vm="1">
        <v>#VALUE!</v>
      </c>
      <c r="C13" s="77" t="s">
        <v>103</v>
      </c>
      <c r="D13" s="78" t="s">
        <v>104</v>
      </c>
      <c r="E13" s="79">
        <v>3</v>
      </c>
      <c r="F13" s="80" t="s">
        <v>105</v>
      </c>
      <c r="G13" s="92" t="s">
        <v>106</v>
      </c>
      <c r="H13" s="82" t="s">
        <v>37</v>
      </c>
      <c r="I13" s="64" t="s">
        <v>38</v>
      </c>
      <c r="J13" s="76">
        <v>3</v>
      </c>
      <c r="K13" s="82">
        <v>3</v>
      </c>
      <c r="L13" s="64">
        <f t="shared" si="0"/>
        <v>9</v>
      </c>
      <c r="M13" s="76">
        <v>1</v>
      </c>
      <c r="N13" s="83">
        <f t="shared" si="1"/>
        <v>9</v>
      </c>
      <c r="O13" s="84" t="s">
        <v>107</v>
      </c>
      <c r="P13" s="80" t="s">
        <v>108</v>
      </c>
      <c r="Q13" s="80" t="s">
        <v>109</v>
      </c>
      <c r="R13" s="86" t="s">
        <v>110</v>
      </c>
      <c r="S13" s="87" t="s">
        <v>111</v>
      </c>
      <c r="T13" s="88" t="s">
        <v>112</v>
      </c>
      <c r="U13" s="89" t="s">
        <v>98</v>
      </c>
      <c r="V13" s="40" t="s">
        <v>99</v>
      </c>
      <c r="W13" s="40" t="s">
        <v>100</v>
      </c>
      <c r="X13" s="90" t="s">
        <v>101</v>
      </c>
      <c r="Y13" s="91" t="s">
        <v>102</v>
      </c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</row>
    <row r="14" spans="1:52" ht="70" customHeight="1" x14ac:dyDescent="0.2">
      <c r="B14" s="76" t="e" vm="1">
        <v>#VALUE!</v>
      </c>
      <c r="C14" s="77" t="s">
        <v>113</v>
      </c>
      <c r="D14" s="78" t="s">
        <v>114</v>
      </c>
      <c r="E14" s="79">
        <v>4</v>
      </c>
      <c r="F14" s="80" t="s">
        <v>115</v>
      </c>
      <c r="G14" s="92" t="s">
        <v>116</v>
      </c>
      <c r="H14" s="82" t="s">
        <v>54</v>
      </c>
      <c r="I14" s="64" t="s">
        <v>38</v>
      </c>
      <c r="J14" s="76">
        <v>3</v>
      </c>
      <c r="K14" s="82">
        <v>2</v>
      </c>
      <c r="L14" s="64">
        <f t="shared" si="0"/>
        <v>6</v>
      </c>
      <c r="M14" s="76">
        <v>1</v>
      </c>
      <c r="N14" s="83">
        <f t="shared" si="1"/>
        <v>6</v>
      </c>
      <c r="O14" s="84" t="s">
        <v>117</v>
      </c>
      <c r="P14" s="80" t="s">
        <v>118</v>
      </c>
      <c r="Q14" s="80" t="s">
        <v>119</v>
      </c>
      <c r="R14" s="86" t="s">
        <v>120</v>
      </c>
      <c r="S14" s="87" t="s">
        <v>121</v>
      </c>
      <c r="T14" s="88" t="s">
        <v>122</v>
      </c>
      <c r="U14" s="89" t="s">
        <v>98</v>
      </c>
      <c r="V14" s="40" t="s">
        <v>99</v>
      </c>
      <c r="W14" s="40" t="s">
        <v>100</v>
      </c>
      <c r="X14" s="90" t="s">
        <v>123</v>
      </c>
      <c r="Y14" s="91" t="s">
        <v>124</v>
      </c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</row>
    <row r="15" spans="1:52" ht="70" customHeight="1" x14ac:dyDescent="0.2">
      <c r="B15" s="76" t="e" vm="1">
        <v>#VALUE!</v>
      </c>
      <c r="C15" s="77" t="s">
        <v>125</v>
      </c>
      <c r="D15" s="78" t="s">
        <v>126</v>
      </c>
      <c r="E15" s="79">
        <v>4</v>
      </c>
      <c r="F15" s="80" t="s">
        <v>127</v>
      </c>
      <c r="G15" s="92" t="s">
        <v>128</v>
      </c>
      <c r="H15" s="82" t="s">
        <v>37</v>
      </c>
      <c r="I15" s="64" t="s">
        <v>38</v>
      </c>
      <c r="J15" s="76">
        <v>3</v>
      </c>
      <c r="K15" s="82">
        <v>2</v>
      </c>
      <c r="L15" s="64">
        <f t="shared" si="0"/>
        <v>6</v>
      </c>
      <c r="M15" s="76">
        <v>1</v>
      </c>
      <c r="N15" s="83">
        <f t="shared" si="1"/>
        <v>6</v>
      </c>
      <c r="O15" s="84" t="s">
        <v>129</v>
      </c>
      <c r="P15" s="80" t="s">
        <v>130</v>
      </c>
      <c r="Q15" s="80" t="s">
        <v>131</v>
      </c>
      <c r="R15" s="86" t="s">
        <v>132</v>
      </c>
      <c r="S15" s="87" t="s">
        <v>133</v>
      </c>
      <c r="T15" s="88" t="s">
        <v>134</v>
      </c>
      <c r="U15" s="89" t="s">
        <v>98</v>
      </c>
      <c r="V15" s="40" t="s">
        <v>99</v>
      </c>
      <c r="W15" s="40" t="s">
        <v>100</v>
      </c>
      <c r="X15" s="90" t="s">
        <v>135</v>
      </c>
      <c r="Y15" s="91" t="s">
        <v>124</v>
      </c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</row>
    <row r="16" spans="1:52" ht="70" customHeight="1" x14ac:dyDescent="0.2">
      <c r="B16" s="76" t="e" vm="1">
        <v>#VALUE!</v>
      </c>
      <c r="C16" s="77" t="s">
        <v>136</v>
      </c>
      <c r="D16" s="78" t="s">
        <v>137</v>
      </c>
      <c r="E16" s="78">
        <v>5</v>
      </c>
      <c r="F16" s="80" t="s">
        <v>138</v>
      </c>
      <c r="G16" s="92" t="s">
        <v>139</v>
      </c>
      <c r="H16" s="82" t="s">
        <v>37</v>
      </c>
      <c r="I16" s="64" t="s">
        <v>38</v>
      </c>
      <c r="J16" s="76">
        <v>3</v>
      </c>
      <c r="K16" s="82">
        <v>2</v>
      </c>
      <c r="L16" s="64">
        <f t="shared" si="0"/>
        <v>6</v>
      </c>
      <c r="M16" s="76">
        <v>1</v>
      </c>
      <c r="N16" s="83">
        <f t="shared" si="1"/>
        <v>6</v>
      </c>
      <c r="O16" s="84" t="s">
        <v>140</v>
      </c>
      <c r="P16" s="80" t="s">
        <v>141</v>
      </c>
      <c r="Q16" s="80" t="s">
        <v>142</v>
      </c>
      <c r="R16" s="86" t="s">
        <v>143</v>
      </c>
      <c r="S16" s="87" t="s">
        <v>144</v>
      </c>
      <c r="T16" s="88" t="s">
        <v>145</v>
      </c>
      <c r="U16" s="89" t="s">
        <v>98</v>
      </c>
      <c r="V16" s="40" t="s">
        <v>99</v>
      </c>
      <c r="W16" s="40" t="s">
        <v>100</v>
      </c>
      <c r="X16" s="90" t="s">
        <v>146</v>
      </c>
      <c r="Y16" s="91" t="s">
        <v>147</v>
      </c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</row>
    <row r="17" spans="2:52" ht="70" customHeight="1" thickBot="1" x14ac:dyDescent="0.25">
      <c r="B17" s="93" t="e" vm="1">
        <v>#VALUE!</v>
      </c>
      <c r="C17" s="94" t="s">
        <v>148</v>
      </c>
      <c r="D17" s="95" t="s">
        <v>149</v>
      </c>
      <c r="E17" s="96">
        <v>5</v>
      </c>
      <c r="F17" s="97" t="s">
        <v>150</v>
      </c>
      <c r="G17" s="98" t="s">
        <v>151</v>
      </c>
      <c r="H17" s="99" t="s">
        <v>54</v>
      </c>
      <c r="I17" s="100" t="s">
        <v>38</v>
      </c>
      <c r="J17" s="93">
        <v>2</v>
      </c>
      <c r="K17" s="99">
        <v>2</v>
      </c>
      <c r="L17" s="100">
        <f t="shared" si="0"/>
        <v>4</v>
      </c>
      <c r="M17" s="93">
        <v>3</v>
      </c>
      <c r="N17" s="101">
        <f t="shared" si="1"/>
        <v>12</v>
      </c>
      <c r="O17" s="102" t="s">
        <v>152</v>
      </c>
      <c r="P17" s="97" t="s">
        <v>153</v>
      </c>
      <c r="Q17" s="97" t="s">
        <v>154</v>
      </c>
      <c r="R17" s="103" t="s">
        <v>155</v>
      </c>
      <c r="S17" s="104" t="s">
        <v>156</v>
      </c>
      <c r="T17" s="105" t="s">
        <v>157</v>
      </c>
      <c r="U17" s="106" t="s">
        <v>98</v>
      </c>
      <c r="V17" s="107" t="s">
        <v>99</v>
      </c>
      <c r="W17" s="107" t="s">
        <v>100</v>
      </c>
      <c r="X17" s="108" t="s">
        <v>158</v>
      </c>
      <c r="Y17" s="109" t="s">
        <v>147</v>
      </c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</row>
    <row r="18" spans="2:52" x14ac:dyDescent="0.2">
      <c r="B18" s="55"/>
      <c r="C18" s="55"/>
      <c r="D18" s="8"/>
      <c r="E18" s="8"/>
      <c r="F18" s="8"/>
      <c r="G18" s="55"/>
      <c r="H18" s="55"/>
      <c r="I18" s="55"/>
      <c r="J18" s="55"/>
      <c r="K18" s="55"/>
      <c r="L18" s="55"/>
      <c r="M18" s="55"/>
      <c r="N18" s="5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</row>
    <row r="19" spans="2:52" x14ac:dyDescent="0.2">
      <c r="B19" s="55"/>
      <c r="C19" s="55"/>
      <c r="D19" s="8"/>
      <c r="E19" s="8"/>
      <c r="F19" s="8"/>
      <c r="G19" s="55"/>
      <c r="H19" s="55"/>
      <c r="I19" s="55"/>
      <c r="J19" s="55"/>
      <c r="K19" s="55"/>
      <c r="L19" s="55"/>
      <c r="M19" s="55"/>
      <c r="N19" s="55"/>
      <c r="O19" s="55"/>
      <c r="P19" s="8"/>
      <c r="Q19" s="8"/>
      <c r="R19" s="8"/>
      <c r="S19" s="8"/>
      <c r="T19" s="8"/>
      <c r="U19" s="8"/>
      <c r="V19" s="8"/>
      <c r="W19" s="8"/>
      <c r="X19" s="8"/>
      <c r="Y19" s="8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</row>
    <row r="20" spans="2:52" x14ac:dyDescent="0.2">
      <c r="B20" s="55"/>
      <c r="C20" s="55"/>
      <c r="D20" s="8"/>
      <c r="E20" s="8"/>
      <c r="F20" s="8"/>
      <c r="G20" s="55"/>
      <c r="H20" s="55"/>
      <c r="I20" s="55"/>
      <c r="J20" s="55"/>
      <c r="K20" s="55"/>
      <c r="L20" s="55"/>
      <c r="M20" s="55"/>
      <c r="N20" s="55"/>
      <c r="O20" s="55"/>
      <c r="P20" s="8"/>
      <c r="Q20" s="8"/>
      <c r="R20" s="8"/>
      <c r="S20" s="8"/>
      <c r="T20" s="8"/>
      <c r="U20" s="8"/>
      <c r="V20" s="8"/>
      <c r="W20" s="8"/>
      <c r="X20" s="8"/>
      <c r="Y20" s="8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</row>
    <row r="21" spans="2:52" x14ac:dyDescent="0.2">
      <c r="B21" s="55"/>
      <c r="C21" s="55"/>
      <c r="D21" s="8"/>
      <c r="E21" s="8"/>
      <c r="F21" s="8"/>
      <c r="G21" s="55"/>
      <c r="H21" s="55"/>
      <c r="I21" s="55"/>
      <c r="J21" s="55"/>
      <c r="K21" s="55"/>
      <c r="L21" s="55"/>
      <c r="M21" s="55"/>
      <c r="N21" s="55"/>
      <c r="O21" s="55"/>
      <c r="P21" s="8"/>
      <c r="Q21" s="8"/>
      <c r="R21" s="8"/>
      <c r="S21" s="8"/>
      <c r="T21" s="8"/>
      <c r="U21" s="8"/>
      <c r="V21" s="8"/>
      <c r="W21" s="8"/>
      <c r="X21" s="8"/>
      <c r="Y21" s="8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</row>
    <row r="22" spans="2:52" x14ac:dyDescent="0.2">
      <c r="B22" s="55"/>
      <c r="C22" s="55"/>
      <c r="D22" s="8"/>
      <c r="E22" s="8"/>
      <c r="F22" s="8"/>
      <c r="G22" s="55"/>
      <c r="H22" s="55"/>
      <c r="I22" s="55"/>
      <c r="J22" s="55"/>
      <c r="K22" s="55"/>
      <c r="L22" s="55"/>
      <c r="M22" s="55"/>
      <c r="N22" s="55"/>
      <c r="O22" s="55"/>
      <c r="P22" s="8"/>
      <c r="Q22" s="8"/>
      <c r="R22" s="8"/>
      <c r="S22" s="8"/>
      <c r="T22" s="8"/>
      <c r="U22" s="8"/>
      <c r="V22" s="8"/>
      <c r="W22" s="8"/>
      <c r="X22" s="8"/>
      <c r="Y22" s="8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</row>
    <row r="23" spans="2:52" x14ac:dyDescent="0.2">
      <c r="B23" s="55"/>
      <c r="C23" s="55"/>
      <c r="D23" s="8"/>
      <c r="E23" s="8"/>
      <c r="F23" s="8"/>
      <c r="G23" s="55"/>
      <c r="H23" s="55"/>
      <c r="I23" s="55"/>
      <c r="J23" s="55"/>
      <c r="K23" s="55"/>
      <c r="L23" s="55"/>
      <c r="M23" s="55"/>
      <c r="N23" s="55"/>
      <c r="O23" s="55"/>
      <c r="P23" s="8"/>
      <c r="Q23" s="8"/>
      <c r="R23" s="8"/>
      <c r="S23" s="8"/>
      <c r="T23" s="8"/>
      <c r="U23" s="8"/>
      <c r="V23" s="8"/>
      <c r="W23" s="8"/>
      <c r="X23" s="8"/>
      <c r="Y23" s="8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</row>
    <row r="24" spans="2:52" x14ac:dyDescent="0.2">
      <c r="B24" s="55"/>
      <c r="C24" s="55"/>
      <c r="D24" s="8"/>
      <c r="E24" s="8"/>
      <c r="F24" s="8"/>
      <c r="G24" s="55"/>
      <c r="H24" s="55"/>
      <c r="I24" s="55"/>
      <c r="J24" s="55"/>
      <c r="K24" s="55"/>
      <c r="L24" s="55"/>
      <c r="M24" s="55"/>
      <c r="N24" s="55"/>
      <c r="O24" s="55"/>
      <c r="P24" s="8"/>
      <c r="Q24" s="8"/>
      <c r="R24" s="8"/>
      <c r="S24" s="8"/>
      <c r="T24" s="8"/>
      <c r="U24" s="8"/>
      <c r="V24" s="8"/>
      <c r="W24" s="8"/>
      <c r="X24" s="8"/>
      <c r="Y24" s="8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</row>
    <row r="25" spans="2:52" x14ac:dyDescent="0.2">
      <c r="B25" s="55"/>
      <c r="C25" s="55"/>
      <c r="D25" s="8"/>
      <c r="E25" s="8"/>
      <c r="F25" s="8"/>
      <c r="G25" s="55"/>
      <c r="H25" s="55"/>
      <c r="I25" s="55"/>
      <c r="J25" s="55"/>
      <c r="K25" s="55"/>
      <c r="L25" s="55"/>
      <c r="M25" s="55"/>
      <c r="N25" s="55"/>
      <c r="O25" s="55"/>
      <c r="P25" s="8"/>
      <c r="Q25" s="8"/>
      <c r="R25" s="8"/>
      <c r="S25" s="8"/>
      <c r="T25" s="8"/>
      <c r="U25" s="8"/>
      <c r="V25" s="8"/>
      <c r="W25" s="8"/>
      <c r="X25" s="8"/>
      <c r="Y25" s="8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</row>
    <row r="26" spans="2:52" x14ac:dyDescent="0.2">
      <c r="B26" s="55"/>
      <c r="C26" s="55"/>
      <c r="D26" s="8"/>
      <c r="E26" s="8"/>
      <c r="F26" s="8"/>
      <c r="G26" s="55"/>
      <c r="H26" s="55"/>
      <c r="I26" s="55"/>
      <c r="J26" s="55"/>
      <c r="K26" s="55"/>
      <c r="L26" s="55"/>
      <c r="M26" s="55"/>
      <c r="N26" s="55"/>
      <c r="O26" s="55"/>
      <c r="P26" s="8"/>
      <c r="Q26" s="8"/>
      <c r="R26" s="8"/>
      <c r="S26" s="8"/>
      <c r="T26" s="8"/>
      <c r="U26" s="8"/>
      <c r="V26" s="8"/>
      <c r="W26" s="8"/>
      <c r="X26" s="8"/>
      <c r="Y26" s="8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</row>
    <row r="27" spans="2:52" x14ac:dyDescent="0.2">
      <c r="B27" s="55"/>
      <c r="C27" s="55"/>
      <c r="D27" s="8"/>
      <c r="E27" s="8"/>
      <c r="F27" s="8"/>
      <c r="G27" s="55"/>
      <c r="H27" s="55"/>
      <c r="I27" s="55"/>
      <c r="J27" s="55"/>
      <c r="K27" s="55"/>
      <c r="L27" s="55"/>
      <c r="M27" s="55"/>
      <c r="N27" s="55"/>
      <c r="O27" s="55"/>
      <c r="P27" s="8"/>
      <c r="Q27" s="8"/>
      <c r="R27" s="8"/>
      <c r="S27" s="8"/>
      <c r="T27" s="8"/>
      <c r="U27" s="8"/>
      <c r="V27" s="8"/>
      <c r="W27" s="8"/>
      <c r="X27" s="8"/>
      <c r="Y27" s="8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</row>
    <row r="28" spans="2:52" x14ac:dyDescent="0.2">
      <c r="B28" s="55"/>
      <c r="C28" s="55"/>
      <c r="D28" s="8"/>
      <c r="E28" s="8"/>
      <c r="F28" s="8"/>
      <c r="G28" s="55"/>
      <c r="H28" s="55"/>
      <c r="I28" s="55"/>
      <c r="J28" s="55"/>
      <c r="K28" s="55"/>
      <c r="L28" s="55"/>
      <c r="M28" s="55"/>
      <c r="N28" s="55"/>
      <c r="O28" s="55"/>
      <c r="P28" s="8"/>
      <c r="Q28" s="8"/>
      <c r="R28" s="8"/>
      <c r="S28" s="8"/>
      <c r="T28" s="8"/>
      <c r="U28" s="8"/>
      <c r="V28" s="8"/>
      <c r="W28" s="8"/>
      <c r="X28" s="8"/>
      <c r="Y28" s="8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</row>
    <row r="29" spans="2:52" x14ac:dyDescent="0.2">
      <c r="B29" s="55"/>
      <c r="C29" s="55"/>
      <c r="D29" s="8"/>
      <c r="E29" s="8"/>
      <c r="F29" s="8"/>
      <c r="G29" s="55"/>
      <c r="H29" s="55"/>
      <c r="I29" s="55"/>
      <c r="J29" s="55"/>
      <c r="K29" s="55"/>
      <c r="L29" s="55"/>
      <c r="M29" s="55"/>
      <c r="N29" s="55"/>
      <c r="O29" s="55"/>
      <c r="P29" s="8"/>
      <c r="Q29" s="8"/>
      <c r="R29" s="8"/>
      <c r="S29" s="8"/>
      <c r="T29" s="8"/>
      <c r="U29" s="8"/>
      <c r="V29" s="8"/>
      <c r="W29" s="8"/>
      <c r="X29" s="8"/>
      <c r="Y29" s="8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</row>
    <row r="30" spans="2:52" x14ac:dyDescent="0.2">
      <c r="B30" s="55"/>
      <c r="C30" s="55"/>
      <c r="D30" s="8"/>
      <c r="E30" s="8"/>
      <c r="F30" s="8"/>
      <c r="G30" s="55"/>
      <c r="H30" s="55"/>
      <c r="I30" s="55"/>
      <c r="J30" s="55"/>
      <c r="K30" s="55"/>
      <c r="L30" s="55"/>
      <c r="M30" s="55"/>
      <c r="N30" s="55"/>
      <c r="O30" s="55"/>
      <c r="P30" s="8"/>
      <c r="Q30" s="8"/>
      <c r="R30" s="8"/>
      <c r="S30" s="8"/>
      <c r="T30" s="8"/>
      <c r="U30" s="8"/>
      <c r="V30" s="8"/>
      <c r="W30" s="8"/>
      <c r="X30" s="8"/>
      <c r="Y30" s="8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</row>
    <row r="31" spans="2:52" x14ac:dyDescent="0.2">
      <c r="B31" s="55"/>
      <c r="C31" s="55"/>
      <c r="D31" s="8"/>
      <c r="E31" s="8"/>
      <c r="F31" s="8"/>
      <c r="G31" s="55"/>
      <c r="H31" s="55"/>
      <c r="I31" s="55"/>
      <c r="J31" s="55"/>
      <c r="K31" s="55"/>
      <c r="L31" s="55"/>
      <c r="M31" s="55"/>
      <c r="N31" s="55"/>
      <c r="O31" s="55"/>
      <c r="P31" s="8"/>
      <c r="Q31" s="8"/>
      <c r="R31" s="8"/>
      <c r="S31" s="8"/>
      <c r="T31" s="8"/>
      <c r="U31" s="8"/>
      <c r="V31" s="8"/>
      <c r="W31" s="8"/>
      <c r="X31" s="8"/>
      <c r="Y31" s="8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</row>
    <row r="32" spans="2:52" x14ac:dyDescent="0.2">
      <c r="B32" s="55"/>
      <c r="C32" s="55"/>
      <c r="D32" s="8"/>
      <c r="E32" s="8"/>
      <c r="F32" s="8"/>
      <c r="G32" s="55"/>
      <c r="H32" s="55"/>
      <c r="I32" s="55"/>
      <c r="J32" s="55"/>
      <c r="K32" s="55"/>
      <c r="L32" s="55"/>
      <c r="M32" s="55"/>
      <c r="N32" s="55"/>
      <c r="O32" s="55"/>
      <c r="P32" s="8"/>
      <c r="Q32" s="8"/>
      <c r="R32" s="8"/>
      <c r="S32" s="8"/>
      <c r="T32" s="8"/>
      <c r="U32" s="8"/>
      <c r="V32" s="8"/>
      <c r="W32" s="8"/>
      <c r="X32" s="8"/>
      <c r="Y32" s="8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</row>
    <row r="33" spans="2:52" x14ac:dyDescent="0.2">
      <c r="B33" s="55"/>
      <c r="C33" s="55"/>
      <c r="D33" s="8"/>
      <c r="E33" s="8"/>
      <c r="F33" s="8"/>
      <c r="G33" s="55"/>
      <c r="H33" s="55"/>
      <c r="I33" s="55"/>
      <c r="J33" s="55"/>
      <c r="K33" s="55"/>
      <c r="L33" s="55"/>
      <c r="M33" s="55"/>
      <c r="N33" s="55"/>
      <c r="O33" s="55"/>
      <c r="P33" s="8"/>
      <c r="Q33" s="8"/>
      <c r="R33" s="8"/>
      <c r="S33" s="8"/>
      <c r="T33" s="8"/>
      <c r="U33" s="8"/>
      <c r="V33" s="8"/>
      <c r="W33" s="8"/>
      <c r="X33" s="8"/>
      <c r="Y33" s="8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</row>
    <row r="34" spans="2:52" x14ac:dyDescent="0.2">
      <c r="B34" s="55"/>
      <c r="C34" s="55"/>
      <c r="D34" s="8"/>
      <c r="E34" s="8"/>
      <c r="F34" s="8"/>
      <c r="G34" s="55"/>
      <c r="H34" s="55"/>
      <c r="I34" s="55"/>
      <c r="J34" s="55"/>
      <c r="K34" s="55"/>
      <c r="L34" s="55"/>
      <c r="M34" s="55"/>
      <c r="N34" s="55"/>
      <c r="O34" s="55"/>
      <c r="P34" s="8"/>
      <c r="Q34" s="8"/>
      <c r="R34" s="8"/>
      <c r="S34" s="8"/>
      <c r="T34" s="8"/>
      <c r="U34" s="8"/>
      <c r="V34" s="8"/>
      <c r="W34" s="8"/>
      <c r="X34" s="8"/>
      <c r="Y34" s="8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</row>
    <row r="35" spans="2:52" x14ac:dyDescent="0.2">
      <c r="B35" s="55"/>
      <c r="C35" s="55"/>
      <c r="D35" s="8"/>
      <c r="E35" s="8"/>
      <c r="F35" s="8"/>
      <c r="G35" s="55"/>
      <c r="H35" s="55"/>
      <c r="I35" s="55"/>
      <c r="J35" s="55"/>
      <c r="K35" s="55"/>
      <c r="L35" s="55"/>
      <c r="M35" s="55"/>
      <c r="N35" s="55"/>
      <c r="O35" s="55"/>
      <c r="P35" s="8"/>
      <c r="Q35" s="8"/>
      <c r="R35" s="8"/>
      <c r="S35" s="8"/>
      <c r="T35" s="8"/>
      <c r="U35" s="8"/>
      <c r="V35" s="8"/>
      <c r="W35" s="8"/>
      <c r="X35" s="8"/>
      <c r="Y35" s="8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</row>
    <row r="36" spans="2:52" x14ac:dyDescent="0.2">
      <c r="B36" s="55"/>
      <c r="C36" s="55"/>
      <c r="D36" s="8"/>
      <c r="E36" s="8"/>
      <c r="F36" s="8"/>
      <c r="G36" s="55"/>
      <c r="H36" s="55"/>
      <c r="I36" s="55"/>
      <c r="J36" s="55">
        <v>3</v>
      </c>
      <c r="K36" s="55">
        <v>3</v>
      </c>
      <c r="L36" s="55">
        <v>6</v>
      </c>
      <c r="M36" s="55">
        <v>9</v>
      </c>
      <c r="N36" s="55"/>
      <c r="O36" s="55"/>
      <c r="P36" s="8"/>
      <c r="Q36" s="8"/>
      <c r="R36" s="8"/>
      <c r="S36" s="8"/>
      <c r="T36" s="8"/>
      <c r="U36" s="8"/>
      <c r="V36" s="8"/>
      <c r="W36" s="8"/>
      <c r="X36" s="8"/>
      <c r="Y36" s="8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</row>
    <row r="37" spans="2:52" x14ac:dyDescent="0.2">
      <c r="B37" s="55"/>
      <c r="C37" s="55"/>
      <c r="D37" s="8"/>
      <c r="E37" s="8"/>
      <c r="F37" s="8"/>
      <c r="G37" s="55"/>
      <c r="H37" s="55"/>
      <c r="I37" s="55"/>
      <c r="J37" s="55">
        <v>2</v>
      </c>
      <c r="K37" s="55">
        <v>2</v>
      </c>
      <c r="L37" s="55">
        <v>4</v>
      </c>
      <c r="M37" s="55">
        <v>6</v>
      </c>
      <c r="N37" s="55"/>
      <c r="O37" s="55"/>
      <c r="P37" s="8"/>
      <c r="Q37" s="8"/>
      <c r="R37" s="8"/>
      <c r="S37" s="8"/>
      <c r="T37" s="8"/>
      <c r="U37" s="8"/>
      <c r="V37" s="8"/>
      <c r="W37" s="8"/>
      <c r="X37" s="8"/>
      <c r="Y37" s="8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</row>
    <row r="38" spans="2:52" x14ac:dyDescent="0.2">
      <c r="B38" s="55"/>
      <c r="C38" s="55"/>
      <c r="D38" s="8"/>
      <c r="E38" s="8"/>
      <c r="F38" s="8"/>
      <c r="G38" s="55"/>
      <c r="H38" s="55"/>
      <c r="I38" s="55"/>
      <c r="J38" s="55">
        <v>1</v>
      </c>
      <c r="K38" s="55">
        <v>1</v>
      </c>
      <c r="L38" s="55">
        <v>2</v>
      </c>
      <c r="M38" s="55">
        <v>3</v>
      </c>
      <c r="N38" s="55"/>
      <c r="O38" s="55"/>
      <c r="P38" s="8"/>
      <c r="Q38" s="8"/>
      <c r="R38" s="8"/>
      <c r="S38" s="8"/>
      <c r="T38" s="8"/>
      <c r="U38" s="8"/>
      <c r="V38" s="8"/>
      <c r="W38" s="8"/>
      <c r="X38" s="8"/>
      <c r="Y38" s="8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</row>
    <row r="39" spans="2:52" x14ac:dyDescent="0.2">
      <c r="B39" s="55"/>
      <c r="C39" s="55"/>
      <c r="D39" s="8"/>
      <c r="E39" s="8"/>
      <c r="F39" s="8"/>
      <c r="G39" s="55"/>
      <c r="H39" s="55"/>
      <c r="I39" s="55"/>
      <c r="J39" s="55"/>
      <c r="K39" s="55"/>
      <c r="L39" s="55"/>
      <c r="M39" s="55"/>
      <c r="N39" s="55"/>
      <c r="O39" s="55"/>
      <c r="P39" s="8"/>
      <c r="Q39" s="8"/>
      <c r="R39" s="8"/>
      <c r="S39" s="8"/>
      <c r="T39" s="8"/>
      <c r="U39" s="8"/>
      <c r="V39" s="8"/>
      <c r="W39" s="8"/>
      <c r="X39" s="8"/>
      <c r="Y39" s="8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</row>
    <row r="40" spans="2:52" x14ac:dyDescent="0.2">
      <c r="B40" s="55"/>
      <c r="C40" s="55"/>
      <c r="D40" s="8"/>
      <c r="E40" s="8"/>
      <c r="F40" s="8"/>
      <c r="G40" s="55"/>
      <c r="H40" s="55"/>
      <c r="I40" s="55"/>
      <c r="J40" s="55"/>
      <c r="K40" s="55">
        <v>1</v>
      </c>
      <c r="L40" s="55">
        <v>2</v>
      </c>
      <c r="M40" s="55">
        <v>3</v>
      </c>
      <c r="N40" s="55"/>
      <c r="O40" s="55"/>
      <c r="P40" s="8"/>
      <c r="Q40" s="8"/>
      <c r="R40" s="8"/>
      <c r="S40" s="8"/>
      <c r="T40" s="8"/>
      <c r="U40" s="8"/>
      <c r="V40" s="8"/>
      <c r="W40" s="8"/>
      <c r="X40" s="8"/>
      <c r="Y40" s="8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</row>
    <row r="41" spans="2:52" x14ac:dyDescent="0.2">
      <c r="B41" s="55"/>
      <c r="C41" s="55"/>
      <c r="D41" s="8"/>
      <c r="E41" s="8"/>
      <c r="F41" s="8"/>
      <c r="G41" s="55"/>
      <c r="H41" s="55"/>
      <c r="I41" s="55"/>
      <c r="J41" s="55"/>
      <c r="K41" s="55"/>
      <c r="L41" s="55"/>
      <c r="M41" s="55"/>
      <c r="N41" s="55"/>
      <c r="O41" s="55"/>
      <c r="P41" s="8"/>
      <c r="Q41" s="8"/>
      <c r="R41" s="8"/>
      <c r="S41" s="8"/>
      <c r="T41" s="8"/>
      <c r="U41" s="8"/>
      <c r="V41" s="8"/>
      <c r="W41" s="8"/>
      <c r="X41" s="8"/>
      <c r="Y41" s="8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</row>
    <row r="42" spans="2:52" x14ac:dyDescent="0.2">
      <c r="B42" s="55"/>
      <c r="C42" s="55"/>
      <c r="D42" s="8"/>
      <c r="E42" s="8"/>
      <c r="F42" s="8"/>
      <c r="G42" s="55"/>
      <c r="H42" s="55"/>
      <c r="I42" s="55"/>
      <c r="J42" s="55"/>
      <c r="K42" s="55"/>
      <c r="L42" s="55"/>
      <c r="M42" s="55"/>
      <c r="N42" s="55"/>
      <c r="O42" s="55"/>
      <c r="P42" s="8"/>
      <c r="Q42" s="8"/>
      <c r="R42" s="8"/>
      <c r="S42" s="8"/>
      <c r="T42" s="8"/>
      <c r="U42" s="8"/>
      <c r="V42" s="8"/>
      <c r="W42" s="8"/>
      <c r="X42" s="8"/>
      <c r="Y42" s="8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</row>
    <row r="43" spans="2:52" x14ac:dyDescent="0.2">
      <c r="B43" s="55"/>
      <c r="C43" s="55"/>
      <c r="D43" s="8"/>
      <c r="E43" s="8"/>
      <c r="F43" s="8"/>
      <c r="G43" s="55"/>
      <c r="H43" s="55"/>
      <c r="I43" s="55"/>
      <c r="J43" s="55"/>
      <c r="K43" s="55"/>
      <c r="L43" s="55"/>
      <c r="M43" s="55"/>
      <c r="N43" s="55"/>
      <c r="O43" s="55"/>
      <c r="P43" s="8"/>
      <c r="Q43" s="8"/>
      <c r="R43" s="8"/>
      <c r="S43" s="8"/>
      <c r="T43" s="8"/>
      <c r="U43" s="8"/>
      <c r="V43" s="8"/>
      <c r="W43" s="8"/>
      <c r="X43" s="8"/>
      <c r="Y43" s="8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</row>
    <row r="44" spans="2:52" x14ac:dyDescent="0.2">
      <c r="B44" s="55"/>
      <c r="C44" s="55"/>
      <c r="D44" s="8"/>
      <c r="E44" s="8"/>
      <c r="F44" s="8"/>
      <c r="G44" s="55"/>
      <c r="H44" s="55"/>
      <c r="I44" s="55"/>
      <c r="J44" s="55">
        <v>3</v>
      </c>
      <c r="K44" s="110">
        <v>3</v>
      </c>
      <c r="L44" s="111">
        <v>6</v>
      </c>
      <c r="M44" s="111">
        <v>9</v>
      </c>
      <c r="N44" s="112">
        <v>12</v>
      </c>
      <c r="O44" s="113">
        <v>18</v>
      </c>
      <c r="P44" s="114">
        <v>27</v>
      </c>
      <c r="Q44" s="8"/>
      <c r="R44" s="8"/>
      <c r="S44" s="8"/>
      <c r="T44" s="8"/>
      <c r="U44" s="8"/>
      <c r="V44" s="8"/>
      <c r="W44" s="8"/>
      <c r="X44" s="8"/>
      <c r="Y44" s="8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</row>
    <row r="45" spans="2:52" x14ac:dyDescent="0.2">
      <c r="B45" s="55"/>
      <c r="C45" s="55"/>
      <c r="D45" s="8"/>
      <c r="E45" s="8"/>
      <c r="F45" s="8"/>
      <c r="G45" s="55"/>
      <c r="H45" s="55"/>
      <c r="I45" s="55"/>
      <c r="J45" s="55">
        <v>2</v>
      </c>
      <c r="K45" s="110">
        <v>2</v>
      </c>
      <c r="L45" s="110">
        <v>4</v>
      </c>
      <c r="M45" s="111">
        <v>6</v>
      </c>
      <c r="N45" s="111">
        <v>8</v>
      </c>
      <c r="O45" s="115">
        <v>12</v>
      </c>
      <c r="P45" s="114">
        <v>18</v>
      </c>
      <c r="Q45" s="8"/>
      <c r="R45" s="8"/>
      <c r="S45" s="8"/>
      <c r="T45" s="8"/>
      <c r="U45" s="8"/>
      <c r="V45" s="8"/>
      <c r="W45" s="8"/>
      <c r="X45" s="8"/>
      <c r="Y45" s="8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</row>
    <row r="46" spans="2:52" x14ac:dyDescent="0.2">
      <c r="B46" s="55"/>
      <c r="C46" s="55"/>
      <c r="D46" s="8"/>
      <c r="E46" s="8"/>
      <c r="F46" s="8"/>
      <c r="G46" s="55"/>
      <c r="H46" s="55"/>
      <c r="I46" s="55"/>
      <c r="J46" s="55">
        <v>1</v>
      </c>
      <c r="K46" s="110">
        <v>1</v>
      </c>
      <c r="L46" s="110">
        <v>2</v>
      </c>
      <c r="M46" s="110">
        <v>3</v>
      </c>
      <c r="N46" s="110">
        <v>4</v>
      </c>
      <c r="O46" s="116">
        <v>6</v>
      </c>
      <c r="P46" s="116">
        <v>9</v>
      </c>
      <c r="Q46" s="8"/>
      <c r="R46" s="8"/>
      <c r="S46" s="8"/>
      <c r="T46" s="8"/>
      <c r="U46" s="8"/>
      <c r="V46" s="8"/>
      <c r="W46" s="8"/>
      <c r="X46" s="8"/>
      <c r="Y46" s="8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</row>
    <row r="47" spans="2:52" x14ac:dyDescent="0.2">
      <c r="B47" s="55"/>
      <c r="C47" s="55"/>
      <c r="D47" s="8"/>
      <c r="E47" s="8"/>
      <c r="F47" s="8"/>
      <c r="G47" s="55"/>
      <c r="H47" s="55"/>
      <c r="I47" s="55"/>
      <c r="J47" s="55"/>
      <c r="Q47" s="8"/>
      <c r="R47" s="8"/>
      <c r="S47" s="8"/>
      <c r="T47" s="8"/>
      <c r="U47" s="8"/>
      <c r="V47" s="8"/>
      <c r="W47" s="8"/>
      <c r="X47" s="8"/>
      <c r="Y47" s="8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</row>
    <row r="48" spans="2:52" x14ac:dyDescent="0.2">
      <c r="B48" s="55"/>
      <c r="C48" s="55"/>
      <c r="D48" s="8"/>
      <c r="E48" s="8"/>
      <c r="F48" s="8"/>
      <c r="G48" s="55"/>
      <c r="H48" s="55"/>
      <c r="I48" s="55"/>
      <c r="J48" s="55"/>
      <c r="K48" s="55">
        <v>1</v>
      </c>
      <c r="L48" s="55">
        <v>2</v>
      </c>
      <c r="M48" s="55">
        <v>3</v>
      </c>
      <c r="N48" s="55">
        <v>4</v>
      </c>
      <c r="O48" s="8">
        <v>6</v>
      </c>
      <c r="P48" s="8">
        <v>9</v>
      </c>
      <c r="Q48" s="8"/>
      <c r="R48" s="8"/>
      <c r="S48" s="8"/>
      <c r="T48" s="8"/>
      <c r="U48" s="8"/>
      <c r="V48" s="8"/>
      <c r="W48" s="8"/>
      <c r="X48" s="8"/>
      <c r="Y48" s="8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</row>
    <row r="49" spans="2:52" x14ac:dyDescent="0.2">
      <c r="B49" s="55"/>
      <c r="C49" s="55"/>
      <c r="D49" s="8"/>
      <c r="E49" s="8"/>
      <c r="F49" s="8"/>
      <c r="G49" s="55"/>
      <c r="H49" s="55"/>
      <c r="I49" s="55"/>
      <c r="J49" s="55"/>
      <c r="K49" s="55"/>
      <c r="L49" s="55"/>
      <c r="M49" s="55"/>
      <c r="N49" s="5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</row>
    <row r="50" spans="2:52" x14ac:dyDescent="0.2">
      <c r="B50" s="55"/>
      <c r="C50" s="55"/>
      <c r="D50" s="8"/>
      <c r="E50" s="8"/>
      <c r="F50" s="8"/>
      <c r="G50" s="55"/>
      <c r="H50" s="55"/>
      <c r="I50" s="55"/>
      <c r="J50" s="55"/>
      <c r="K50" s="55"/>
      <c r="L50" s="55"/>
      <c r="M50" s="55"/>
      <c r="N50" s="5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</row>
    <row r="51" spans="2:52" x14ac:dyDescent="0.2">
      <c r="B51" s="55"/>
      <c r="C51" s="55"/>
      <c r="D51" s="8"/>
      <c r="E51" s="8"/>
      <c r="F51" s="8"/>
      <c r="G51" s="55"/>
      <c r="H51" s="55"/>
      <c r="I51" s="55"/>
      <c r="J51" s="55"/>
      <c r="K51" s="55"/>
      <c r="L51" s="55"/>
      <c r="M51" s="55"/>
      <c r="N51" s="5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</row>
    <row r="52" spans="2:52" x14ac:dyDescent="0.2">
      <c r="B52" s="55"/>
      <c r="C52" s="55"/>
      <c r="D52" s="8"/>
      <c r="E52" s="8"/>
      <c r="F52" s="8"/>
      <c r="G52" s="55"/>
      <c r="H52" s="55"/>
      <c r="I52" s="55"/>
      <c r="J52" s="55"/>
      <c r="K52" s="55"/>
      <c r="L52" s="55"/>
      <c r="M52" s="55"/>
      <c r="N52" s="5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</row>
    <row r="53" spans="2:52" x14ac:dyDescent="0.2">
      <c r="B53" s="55"/>
      <c r="C53" s="55"/>
      <c r="D53" s="8"/>
      <c r="E53" s="8"/>
      <c r="F53" s="8"/>
      <c r="G53" s="55"/>
      <c r="H53" s="55"/>
      <c r="I53" s="55"/>
      <c r="J53" s="55"/>
      <c r="K53" s="55"/>
      <c r="L53" s="55"/>
      <c r="M53" s="55"/>
      <c r="N53" s="5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</row>
    <row r="54" spans="2:52" x14ac:dyDescent="0.2">
      <c r="B54" s="55"/>
      <c r="C54" s="55"/>
      <c r="D54" s="8"/>
      <c r="E54" s="8"/>
      <c r="F54" s="8"/>
      <c r="G54" s="55"/>
      <c r="H54" s="55"/>
      <c r="I54" s="55"/>
      <c r="J54" s="55"/>
      <c r="K54" s="55"/>
      <c r="L54" s="55"/>
      <c r="M54" s="55"/>
      <c r="N54" s="5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</row>
    <row r="55" spans="2:52" x14ac:dyDescent="0.2">
      <c r="B55" s="55"/>
      <c r="C55" s="55"/>
      <c r="D55" s="8"/>
      <c r="E55" s="8"/>
      <c r="F55" s="8"/>
      <c r="G55" s="55"/>
      <c r="H55" s="55"/>
      <c r="I55" s="55"/>
      <c r="J55" s="55"/>
      <c r="K55" s="55"/>
      <c r="L55" s="55"/>
      <c r="M55" s="55"/>
      <c r="N55" s="5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spans="2:52" x14ac:dyDescent="0.2">
      <c r="B56" s="55"/>
      <c r="C56" s="55"/>
      <c r="D56" s="8"/>
      <c r="E56" s="8"/>
      <c r="F56" s="8"/>
      <c r="G56" s="55"/>
      <c r="H56" s="55"/>
      <c r="I56" s="55"/>
      <c r="J56" s="55"/>
      <c r="K56" s="55"/>
      <c r="L56" s="55"/>
      <c r="M56" s="55"/>
      <c r="N56" s="5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</row>
    <row r="57" spans="2:52" x14ac:dyDescent="0.2">
      <c r="B57" s="55"/>
      <c r="C57" s="55"/>
      <c r="D57" s="8"/>
      <c r="E57" s="8"/>
      <c r="F57" s="8"/>
      <c r="G57" s="55"/>
      <c r="H57" s="55"/>
      <c r="I57" s="55"/>
      <c r="J57" s="55"/>
      <c r="K57" s="55"/>
      <c r="L57" s="55"/>
      <c r="M57" s="55"/>
      <c r="N57" s="5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</row>
    <row r="58" spans="2:52" x14ac:dyDescent="0.2">
      <c r="B58" s="55"/>
      <c r="C58" s="55"/>
      <c r="D58" s="8"/>
      <c r="E58" s="8"/>
      <c r="F58" s="8"/>
      <c r="G58" s="55"/>
      <c r="H58" s="55"/>
      <c r="I58" s="55"/>
      <c r="J58" s="55"/>
      <c r="K58" s="55"/>
      <c r="L58" s="55"/>
      <c r="M58" s="55"/>
      <c r="N58" s="5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</row>
    <row r="59" spans="2:52" x14ac:dyDescent="0.2">
      <c r="B59" s="55"/>
      <c r="C59" s="55"/>
      <c r="D59" s="8"/>
      <c r="E59" s="8"/>
      <c r="F59" s="8"/>
      <c r="G59" s="55"/>
      <c r="H59" s="55"/>
      <c r="I59" s="55"/>
      <c r="J59" s="55"/>
      <c r="K59" s="55"/>
      <c r="L59" s="55"/>
      <c r="M59" s="55"/>
      <c r="N59" s="55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</row>
    <row r="60" spans="2:52" x14ac:dyDescent="0.2">
      <c r="B60" s="55"/>
      <c r="C60" s="55"/>
      <c r="D60" s="8"/>
      <c r="E60" s="8"/>
      <c r="F60" s="8"/>
      <c r="G60" s="55"/>
      <c r="H60" s="55"/>
      <c r="I60" s="55"/>
      <c r="J60" s="55"/>
      <c r="K60" s="55"/>
      <c r="L60" s="55"/>
      <c r="M60" s="55"/>
      <c r="N60" s="5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</row>
    <row r="61" spans="2:52" x14ac:dyDescent="0.2">
      <c r="B61" s="55"/>
      <c r="C61" s="55"/>
      <c r="D61" s="8"/>
      <c r="E61" s="8"/>
      <c r="F61" s="8"/>
      <c r="G61" s="55"/>
      <c r="H61" s="55"/>
      <c r="I61" s="55"/>
      <c r="J61" s="55"/>
      <c r="K61" s="55"/>
      <c r="L61" s="55"/>
      <c r="M61" s="55"/>
      <c r="N61" s="5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</row>
    <row r="62" spans="2:52" x14ac:dyDescent="0.2">
      <c r="B62" s="55"/>
      <c r="C62" s="55"/>
      <c r="D62" s="8"/>
      <c r="E62" s="8"/>
      <c r="F62" s="8"/>
      <c r="G62" s="55"/>
      <c r="H62" s="55"/>
      <c r="I62" s="55"/>
      <c r="J62" s="55"/>
      <c r="K62" s="55"/>
      <c r="L62" s="55"/>
      <c r="M62" s="55"/>
      <c r="N62" s="55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</row>
    <row r="63" spans="2:52" x14ac:dyDescent="0.2">
      <c r="B63" s="55"/>
      <c r="C63" s="55"/>
      <c r="D63" s="8"/>
      <c r="E63" s="8"/>
      <c r="F63" s="8"/>
      <c r="G63" s="55"/>
      <c r="H63" s="55"/>
      <c r="I63" s="55"/>
      <c r="J63" s="55"/>
      <c r="K63" s="55"/>
      <c r="L63" s="55"/>
      <c r="M63" s="55"/>
      <c r="N63" s="55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</row>
    <row r="64" spans="2:52" x14ac:dyDescent="0.2">
      <c r="B64" s="55"/>
      <c r="C64" s="55"/>
      <c r="D64" s="8"/>
      <c r="E64" s="8"/>
      <c r="F64" s="8"/>
      <c r="G64" s="55"/>
      <c r="H64" s="55"/>
      <c r="I64" s="55"/>
      <c r="J64" s="55"/>
      <c r="K64" s="55"/>
      <c r="L64" s="55"/>
      <c r="M64" s="55"/>
      <c r="N64" s="55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</row>
    <row r="65" spans="2:52" x14ac:dyDescent="0.2">
      <c r="B65" s="55"/>
      <c r="C65" s="55"/>
      <c r="D65" s="8"/>
      <c r="E65" s="8"/>
      <c r="F65" s="8"/>
      <c r="G65" s="55"/>
      <c r="H65" s="55"/>
      <c r="I65" s="55"/>
      <c r="J65" s="55"/>
      <c r="K65" s="55"/>
      <c r="L65" s="55"/>
      <c r="M65" s="55"/>
      <c r="N65" s="55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</row>
    <row r="66" spans="2:52" x14ac:dyDescent="0.2">
      <c r="B66" s="55"/>
      <c r="C66" s="55"/>
      <c r="D66" s="8"/>
      <c r="E66" s="8"/>
      <c r="F66" s="8"/>
      <c r="G66" s="55"/>
      <c r="H66" s="55"/>
      <c r="I66" s="55"/>
      <c r="J66" s="55"/>
      <c r="K66" s="55"/>
      <c r="L66" s="55"/>
      <c r="M66" s="55"/>
      <c r="N66" s="5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</row>
    <row r="67" spans="2:52" x14ac:dyDescent="0.2">
      <c r="B67" s="55"/>
      <c r="C67" s="55"/>
      <c r="D67" s="8"/>
      <c r="E67" s="8"/>
      <c r="F67" s="8"/>
      <c r="G67" s="55"/>
      <c r="H67" s="55"/>
      <c r="I67" s="55"/>
      <c r="J67" s="55"/>
      <c r="K67" s="55"/>
      <c r="L67" s="55"/>
      <c r="M67" s="55"/>
      <c r="N67" s="55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</row>
    <row r="68" spans="2:52" x14ac:dyDescent="0.2">
      <c r="B68" s="55"/>
      <c r="C68" s="55"/>
      <c r="D68" s="8"/>
      <c r="E68" s="8"/>
      <c r="F68" s="8"/>
      <c r="G68" s="55"/>
      <c r="H68" s="55"/>
      <c r="I68" s="55"/>
      <c r="J68" s="55"/>
      <c r="K68" s="55"/>
      <c r="L68" s="55"/>
      <c r="M68" s="55"/>
      <c r="N68" s="55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</row>
    <row r="69" spans="2:52" x14ac:dyDescent="0.2">
      <c r="B69" s="55"/>
      <c r="C69" s="55"/>
      <c r="D69" s="8"/>
      <c r="E69" s="8"/>
      <c r="F69" s="8"/>
      <c r="G69" s="55"/>
      <c r="H69" s="55"/>
      <c r="I69" s="55"/>
      <c r="J69" s="55"/>
      <c r="K69" s="55"/>
      <c r="L69" s="55"/>
      <c r="M69" s="55"/>
      <c r="N69" s="55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</row>
    <row r="70" spans="2:52" x14ac:dyDescent="0.2">
      <c r="B70" s="55"/>
      <c r="C70" s="55"/>
      <c r="D70" s="8"/>
      <c r="E70" s="8"/>
      <c r="F70" s="8"/>
      <c r="G70" s="55"/>
      <c r="H70" s="55"/>
      <c r="I70" s="55"/>
      <c r="J70" s="55"/>
      <c r="K70" s="55"/>
      <c r="L70" s="55"/>
      <c r="M70" s="55"/>
      <c r="N70" s="55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</row>
    <row r="71" spans="2:52" x14ac:dyDescent="0.2">
      <c r="B71" s="55"/>
      <c r="C71" s="55"/>
      <c r="D71" s="8"/>
      <c r="E71" s="8"/>
      <c r="F71" s="8"/>
      <c r="G71" s="55"/>
      <c r="H71" s="55"/>
      <c r="I71" s="55"/>
      <c r="J71" s="55"/>
      <c r="K71" s="55"/>
      <c r="L71" s="55"/>
      <c r="M71" s="55"/>
      <c r="N71" s="55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</row>
    <row r="72" spans="2:52" x14ac:dyDescent="0.2">
      <c r="B72" s="55"/>
      <c r="C72" s="55"/>
      <c r="D72" s="8"/>
      <c r="E72" s="8"/>
      <c r="F72" s="8"/>
      <c r="G72" s="55"/>
      <c r="H72" s="55"/>
      <c r="I72" s="55"/>
      <c r="J72" s="55"/>
      <c r="K72" s="55"/>
      <c r="L72" s="55"/>
      <c r="M72" s="55"/>
      <c r="N72" s="5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</row>
    <row r="73" spans="2:52" x14ac:dyDescent="0.2">
      <c r="B73" s="55"/>
      <c r="C73" s="55"/>
      <c r="D73" s="8"/>
      <c r="E73" s="8"/>
      <c r="F73" s="8"/>
      <c r="G73" s="55"/>
      <c r="H73" s="55"/>
      <c r="I73" s="55"/>
      <c r="J73" s="55"/>
      <c r="K73" s="55"/>
      <c r="L73" s="55"/>
      <c r="M73" s="55"/>
      <c r="N73" s="5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</row>
    <row r="74" spans="2:52" x14ac:dyDescent="0.2">
      <c r="B74" s="55"/>
      <c r="C74" s="55"/>
      <c r="D74" s="8"/>
      <c r="E74" s="8"/>
      <c r="F74" s="8"/>
      <c r="G74" s="55"/>
      <c r="H74" s="55"/>
      <c r="I74" s="55"/>
      <c r="J74" s="55"/>
      <c r="K74" s="55"/>
      <c r="L74" s="55"/>
      <c r="M74" s="55"/>
      <c r="N74" s="55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</row>
    <row r="75" spans="2:52" x14ac:dyDescent="0.2">
      <c r="B75" s="55"/>
      <c r="C75" s="55"/>
      <c r="D75" s="8"/>
      <c r="E75" s="8"/>
      <c r="F75" s="8"/>
      <c r="G75" s="55"/>
      <c r="H75" s="55"/>
      <c r="I75" s="55"/>
      <c r="J75" s="55"/>
      <c r="K75" s="55"/>
      <c r="L75" s="55"/>
      <c r="M75" s="55"/>
      <c r="N75" s="5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</row>
    <row r="76" spans="2:52" x14ac:dyDescent="0.2">
      <c r="B76" s="55"/>
      <c r="C76" s="55"/>
      <c r="D76" s="8"/>
      <c r="E76" s="8"/>
      <c r="F76" s="8"/>
      <c r="G76" s="55"/>
      <c r="H76" s="55"/>
      <c r="I76" s="55"/>
      <c r="J76" s="55"/>
      <c r="K76" s="55"/>
      <c r="L76" s="55"/>
      <c r="M76" s="55"/>
      <c r="N76" s="5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</row>
    <row r="77" spans="2:52" x14ac:dyDescent="0.2">
      <c r="B77" s="55"/>
      <c r="C77" s="55"/>
      <c r="D77" s="8"/>
      <c r="E77" s="8"/>
      <c r="F77" s="8"/>
      <c r="G77" s="55"/>
      <c r="H77" s="55"/>
      <c r="I77" s="55"/>
      <c r="J77" s="55"/>
      <c r="K77" s="55"/>
      <c r="L77" s="55"/>
      <c r="M77" s="55"/>
      <c r="N77" s="5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</row>
    <row r="78" spans="2:52" x14ac:dyDescent="0.2">
      <c r="B78" s="55"/>
      <c r="C78" s="55"/>
      <c r="D78" s="8"/>
      <c r="E78" s="8"/>
      <c r="F78" s="8"/>
      <c r="G78" s="55"/>
      <c r="H78" s="55"/>
      <c r="I78" s="55"/>
      <c r="J78" s="55"/>
      <c r="K78" s="55"/>
      <c r="L78" s="55"/>
      <c r="M78" s="55"/>
      <c r="N78" s="5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</row>
    <row r="79" spans="2:52" x14ac:dyDescent="0.2">
      <c r="B79" s="55"/>
      <c r="C79" s="55"/>
      <c r="D79" s="8"/>
      <c r="E79" s="8"/>
      <c r="F79" s="8"/>
      <c r="G79" s="55"/>
      <c r="H79" s="55"/>
      <c r="I79" s="55"/>
      <c r="J79" s="55"/>
      <c r="K79" s="55"/>
      <c r="L79" s="55"/>
      <c r="M79" s="55"/>
      <c r="N79" s="5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</row>
    <row r="80" spans="2:52" x14ac:dyDescent="0.2">
      <c r="B80" s="55"/>
      <c r="C80" s="55"/>
      <c r="D80" s="8"/>
      <c r="E80" s="8"/>
      <c r="F80" s="8"/>
      <c r="G80" s="55"/>
      <c r="H80" s="55"/>
      <c r="I80" s="55"/>
      <c r="J80" s="55"/>
      <c r="K80" s="55"/>
      <c r="L80" s="55"/>
      <c r="M80" s="55"/>
      <c r="N80" s="5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</row>
    <row r="81" spans="2:52" x14ac:dyDescent="0.2">
      <c r="B81" s="55"/>
      <c r="C81" s="55"/>
      <c r="D81" s="8"/>
      <c r="E81" s="8"/>
      <c r="F81" s="8"/>
      <c r="G81" s="55"/>
      <c r="H81" s="55"/>
      <c r="I81" s="55"/>
      <c r="J81" s="55"/>
      <c r="K81" s="55"/>
      <c r="L81" s="55"/>
      <c r="M81" s="55"/>
      <c r="N81" s="5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</row>
    <row r="82" spans="2:52" x14ac:dyDescent="0.2">
      <c r="B82" s="55"/>
      <c r="C82" s="55"/>
      <c r="D82" s="8"/>
      <c r="E82" s="8"/>
      <c r="F82" s="8"/>
      <c r="G82" s="55"/>
      <c r="H82" s="55"/>
      <c r="I82" s="55"/>
      <c r="J82" s="55"/>
      <c r="K82" s="55"/>
      <c r="L82" s="55"/>
      <c r="M82" s="55"/>
      <c r="N82" s="5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</row>
    <row r="83" spans="2:52" x14ac:dyDescent="0.2">
      <c r="B83" s="55"/>
      <c r="C83" s="55"/>
      <c r="D83" s="8"/>
      <c r="E83" s="8"/>
      <c r="F83" s="8"/>
      <c r="G83" s="55"/>
      <c r="H83" s="55"/>
      <c r="I83" s="55"/>
      <c r="J83" s="55"/>
      <c r="K83" s="55"/>
      <c r="L83" s="55"/>
      <c r="M83" s="55"/>
      <c r="N83" s="5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</row>
    <row r="84" spans="2:52" x14ac:dyDescent="0.2">
      <c r="B84" s="55"/>
      <c r="C84" s="55"/>
      <c r="D84" s="8"/>
      <c r="E84" s="8"/>
      <c r="F84" s="8"/>
      <c r="G84" s="55"/>
      <c r="H84" s="55"/>
      <c r="I84" s="55"/>
      <c r="J84" s="55"/>
      <c r="K84" s="55"/>
      <c r="L84" s="55"/>
      <c r="M84" s="55"/>
      <c r="N84" s="5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</row>
    <row r="85" spans="2:52" x14ac:dyDescent="0.2">
      <c r="B85" s="55"/>
      <c r="C85" s="55"/>
      <c r="D85" s="8"/>
      <c r="E85" s="8"/>
      <c r="F85" s="8"/>
      <c r="G85" s="55"/>
      <c r="H85" s="55"/>
      <c r="I85" s="55"/>
      <c r="J85" s="55"/>
      <c r="K85" s="55"/>
      <c r="L85" s="55"/>
      <c r="M85" s="55"/>
      <c r="N85" s="5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</row>
    <row r="86" spans="2:52" x14ac:dyDescent="0.2">
      <c r="B86" s="55"/>
      <c r="C86" s="55"/>
      <c r="D86" s="8"/>
      <c r="E86" s="8"/>
      <c r="F86" s="8"/>
      <c r="G86" s="55"/>
      <c r="H86" s="55"/>
      <c r="I86" s="55"/>
      <c r="J86" s="55"/>
      <c r="K86" s="55"/>
      <c r="L86" s="55"/>
      <c r="M86" s="55"/>
      <c r="N86" s="5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</row>
    <row r="87" spans="2:52" x14ac:dyDescent="0.2">
      <c r="B87" s="55"/>
      <c r="C87" s="55"/>
      <c r="D87" s="8"/>
      <c r="E87" s="8"/>
      <c r="F87" s="8"/>
      <c r="G87" s="55"/>
      <c r="H87" s="55"/>
      <c r="I87" s="55"/>
      <c r="J87" s="55"/>
      <c r="K87" s="55"/>
      <c r="L87" s="55"/>
      <c r="M87" s="55"/>
      <c r="N87" s="5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</row>
    <row r="88" spans="2:52" x14ac:dyDescent="0.2">
      <c r="B88" s="55"/>
      <c r="C88" s="55"/>
      <c r="D88" s="8"/>
      <c r="E88" s="8"/>
      <c r="F88" s="8"/>
      <c r="G88" s="55"/>
      <c r="H88" s="55"/>
      <c r="I88" s="55"/>
      <c r="J88" s="55"/>
      <c r="K88" s="55"/>
      <c r="L88" s="55"/>
      <c r="M88" s="55"/>
      <c r="N88" s="5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</row>
    <row r="89" spans="2:52" x14ac:dyDescent="0.2">
      <c r="B89" s="55"/>
      <c r="C89" s="55"/>
      <c r="D89" s="8"/>
      <c r="E89" s="8"/>
      <c r="F89" s="8"/>
      <c r="G89" s="55"/>
      <c r="H89" s="55"/>
      <c r="I89" s="55"/>
      <c r="J89" s="55"/>
      <c r="K89" s="55"/>
      <c r="L89" s="55"/>
      <c r="M89" s="55"/>
      <c r="N89" s="5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</row>
    <row r="90" spans="2:52" x14ac:dyDescent="0.2">
      <c r="B90" s="55"/>
      <c r="C90" s="55"/>
      <c r="D90" s="8"/>
      <c r="E90" s="8"/>
      <c r="F90" s="8"/>
      <c r="G90" s="55"/>
      <c r="H90" s="55"/>
      <c r="I90" s="55"/>
      <c r="J90" s="55"/>
      <c r="K90" s="55"/>
      <c r="L90" s="55"/>
      <c r="M90" s="55"/>
      <c r="N90" s="5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</row>
    <row r="91" spans="2:52" x14ac:dyDescent="0.2">
      <c r="B91" s="55"/>
      <c r="C91" s="55"/>
      <c r="D91" s="8"/>
      <c r="E91" s="8"/>
      <c r="F91" s="8"/>
      <c r="G91" s="55"/>
      <c r="H91" s="55"/>
      <c r="I91" s="55"/>
      <c r="J91" s="55"/>
      <c r="K91" s="55"/>
      <c r="L91" s="55"/>
      <c r="M91" s="55"/>
      <c r="N91" s="5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</row>
    <row r="92" spans="2:52" x14ac:dyDescent="0.2">
      <c r="B92" s="55"/>
      <c r="C92" s="55"/>
      <c r="D92" s="8"/>
      <c r="E92" s="8"/>
      <c r="F92" s="8"/>
      <c r="G92" s="55"/>
      <c r="H92" s="55"/>
      <c r="I92" s="55"/>
      <c r="J92" s="55"/>
      <c r="K92" s="55"/>
      <c r="L92" s="55"/>
      <c r="M92" s="55"/>
      <c r="N92" s="55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</row>
    <row r="93" spans="2:52" x14ac:dyDescent="0.2">
      <c r="B93" s="55"/>
      <c r="C93" s="55"/>
      <c r="D93" s="8"/>
      <c r="E93" s="8"/>
      <c r="F93" s="8"/>
      <c r="G93" s="55"/>
      <c r="H93" s="55"/>
      <c r="I93" s="55"/>
      <c r="J93" s="55"/>
      <c r="K93" s="55"/>
      <c r="L93" s="55"/>
      <c r="M93" s="55"/>
      <c r="N93" s="55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</row>
    <row r="94" spans="2:52" x14ac:dyDescent="0.2">
      <c r="B94" s="55"/>
      <c r="C94" s="55"/>
      <c r="D94" s="8"/>
      <c r="E94" s="8"/>
      <c r="F94" s="8"/>
      <c r="G94" s="55"/>
      <c r="H94" s="55"/>
      <c r="I94" s="55"/>
      <c r="J94" s="55"/>
      <c r="K94" s="55"/>
      <c r="L94" s="55"/>
      <c r="M94" s="55"/>
      <c r="N94" s="5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</row>
    <row r="95" spans="2:52" x14ac:dyDescent="0.2">
      <c r="B95" s="55"/>
      <c r="C95" s="55"/>
      <c r="D95" s="8"/>
      <c r="E95" s="8"/>
      <c r="F95" s="8"/>
      <c r="G95" s="55"/>
      <c r="H95" s="55"/>
      <c r="I95" s="55"/>
      <c r="J95" s="55"/>
      <c r="K95" s="55"/>
      <c r="L95" s="55"/>
      <c r="M95" s="55"/>
      <c r="N95" s="55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</row>
    <row r="96" spans="2:52" x14ac:dyDescent="0.2">
      <c r="B96" s="55"/>
      <c r="C96" s="55"/>
      <c r="D96" s="8"/>
      <c r="E96" s="8"/>
      <c r="F96" s="8"/>
      <c r="G96" s="55"/>
      <c r="H96" s="55"/>
      <c r="I96" s="55"/>
      <c r="J96" s="55"/>
      <c r="K96" s="55"/>
      <c r="L96" s="55"/>
      <c r="M96" s="55"/>
      <c r="N96" s="5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</row>
    <row r="97" spans="2:52" x14ac:dyDescent="0.2">
      <c r="B97" s="55"/>
      <c r="C97" s="55"/>
      <c r="D97" s="8"/>
      <c r="E97" s="8"/>
      <c r="F97" s="8"/>
      <c r="G97" s="55"/>
      <c r="H97" s="55"/>
      <c r="I97" s="55"/>
      <c r="J97" s="55"/>
      <c r="K97" s="55"/>
      <c r="L97" s="55"/>
      <c r="M97" s="55"/>
      <c r="N97" s="5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</row>
    <row r="98" spans="2:52" x14ac:dyDescent="0.2">
      <c r="B98" s="55"/>
      <c r="C98" s="55"/>
      <c r="D98" s="8"/>
      <c r="E98" s="8"/>
      <c r="F98" s="8"/>
      <c r="G98" s="55"/>
      <c r="H98" s="55"/>
      <c r="I98" s="55"/>
      <c r="J98" s="55"/>
      <c r="K98" s="55"/>
      <c r="L98" s="55"/>
      <c r="M98" s="55"/>
      <c r="N98" s="5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</row>
    <row r="99" spans="2:52" x14ac:dyDescent="0.2">
      <c r="B99" s="55"/>
      <c r="C99" s="55"/>
      <c r="D99" s="8"/>
      <c r="E99" s="8"/>
      <c r="F99" s="8"/>
      <c r="G99" s="55"/>
      <c r="H99" s="55"/>
      <c r="I99" s="55"/>
      <c r="J99" s="55"/>
      <c r="K99" s="55"/>
      <c r="L99" s="55"/>
      <c r="M99" s="55"/>
      <c r="N99" s="55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</row>
    <row r="100" spans="2:52" x14ac:dyDescent="0.2">
      <c r="B100" s="55"/>
      <c r="C100" s="55"/>
      <c r="D100" s="8"/>
      <c r="E100" s="8"/>
      <c r="F100" s="8"/>
      <c r="G100" s="55"/>
      <c r="H100" s="55"/>
      <c r="I100" s="55"/>
      <c r="J100" s="55"/>
      <c r="K100" s="55"/>
      <c r="L100" s="55"/>
      <c r="M100" s="55"/>
      <c r="N100" s="55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</row>
    <row r="101" spans="2:52" x14ac:dyDescent="0.2">
      <c r="B101" s="55"/>
      <c r="C101" s="55"/>
      <c r="D101" s="8"/>
      <c r="E101" s="8"/>
      <c r="F101" s="8"/>
      <c r="G101" s="55"/>
      <c r="H101" s="55"/>
      <c r="I101" s="55"/>
      <c r="J101" s="55"/>
      <c r="K101" s="55"/>
      <c r="L101" s="55"/>
      <c r="M101" s="55"/>
      <c r="N101" s="55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</row>
    <row r="102" spans="2:52" x14ac:dyDescent="0.2">
      <c r="B102" s="55"/>
      <c r="C102" s="55"/>
      <c r="D102" s="8"/>
      <c r="E102" s="8"/>
      <c r="F102" s="8"/>
      <c r="G102" s="55"/>
      <c r="H102" s="55"/>
      <c r="I102" s="55"/>
      <c r="J102" s="55"/>
      <c r="K102" s="55"/>
      <c r="L102" s="55"/>
      <c r="M102" s="55"/>
      <c r="N102" s="5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</row>
    <row r="103" spans="2:52" x14ac:dyDescent="0.2">
      <c r="B103" s="55"/>
      <c r="C103" s="55"/>
      <c r="D103" s="8"/>
      <c r="E103" s="8"/>
      <c r="F103" s="8"/>
      <c r="G103" s="55"/>
      <c r="H103" s="55"/>
      <c r="I103" s="55"/>
      <c r="J103" s="55"/>
      <c r="K103" s="55"/>
      <c r="L103" s="55"/>
      <c r="M103" s="55"/>
      <c r="N103" s="55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</row>
  </sheetData>
  <autoFilter ref="A7:Y17" xr:uid="{870CDEB8-DABA-6D45-9E4C-D3B66E095AF9}">
    <sortState xmlns:xlrd2="http://schemas.microsoft.com/office/spreadsheetml/2017/richdata2" ref="A8:Y17">
      <sortCondition ref="E7:E17"/>
    </sortState>
  </autoFilter>
  <conditionalFormatting sqref="B8:Y17">
    <cfRule type="expression" dxfId="21" priority="1">
      <formula>$I8:$I17="Non-active"</formula>
    </cfRule>
  </conditionalFormatting>
  <conditionalFormatting sqref="G2 N8:N17">
    <cfRule type="cellIs" dxfId="20" priority="3" operator="between">
      <formula>11</formula>
      <formula>17</formula>
    </cfRule>
    <cfRule type="cellIs" dxfId="19" priority="4" operator="between">
      <formula>5</formula>
      <formula>10</formula>
    </cfRule>
    <cfRule type="cellIs" dxfId="18" priority="5" operator="between">
      <formula>1</formula>
      <formula>4</formula>
    </cfRule>
  </conditionalFormatting>
  <conditionalFormatting sqref="G3">
    <cfRule type="cellIs" dxfId="17" priority="6" operator="greaterThanOrEqual">
      <formula>9</formula>
    </cfRule>
    <cfRule type="cellIs" dxfId="16" priority="7" operator="between">
      <formula>6</formula>
      <formula>8</formula>
    </cfRule>
    <cfRule type="cellIs" dxfId="15" priority="8" operator="between">
      <formula>3</formula>
      <formula>4</formula>
    </cfRule>
    <cfRule type="cellIs" dxfId="14" priority="9" operator="between">
      <formula>1</formula>
      <formula>2</formula>
    </cfRule>
  </conditionalFormatting>
  <conditionalFormatting sqref="H8:H17">
    <cfRule type="containsText" dxfId="13" priority="22" operator="containsText" text="External">
      <formula>NOT(ISERROR(SEARCH("External",H8)))</formula>
    </cfRule>
    <cfRule type="containsText" dxfId="12" priority="23" operator="containsText" text="Internal">
      <formula>NOT(ISERROR(SEARCH("Internal",H8)))</formula>
    </cfRule>
  </conditionalFormatting>
  <conditionalFormatting sqref="I8:I17">
    <cfRule type="containsText" dxfId="11" priority="21" operator="containsText" text="Active">
      <formula>NOT(ISERROR(SEARCH("Active",I8)))</formula>
    </cfRule>
  </conditionalFormatting>
  <conditionalFormatting sqref="J8:K17">
    <cfRule type="expression" dxfId="10" priority="17">
      <formula>J8=2</formula>
    </cfRule>
    <cfRule type="expression" dxfId="9" priority="18">
      <formula>J8=3</formula>
    </cfRule>
    <cfRule type="expression" dxfId="8" priority="19">
      <formula>J8=1</formula>
    </cfRule>
  </conditionalFormatting>
  <conditionalFormatting sqref="L8:L17">
    <cfRule type="cellIs" dxfId="7" priority="13" operator="greaterThanOrEqual">
      <formula>9</formula>
    </cfRule>
    <cfRule type="cellIs" dxfId="6" priority="14" operator="between">
      <formula>6</formula>
      <formula>8</formula>
    </cfRule>
    <cfRule type="cellIs" dxfId="5" priority="15" operator="between">
      <formula>3</formula>
      <formula>4</formula>
    </cfRule>
    <cfRule type="cellIs" dxfId="4" priority="16" operator="between">
      <formula>1</formula>
      <formula>2</formula>
    </cfRule>
  </conditionalFormatting>
  <conditionalFormatting sqref="M8:M17">
    <cfRule type="cellIs" dxfId="3" priority="10" operator="equal">
      <formula>3</formula>
    </cfRule>
    <cfRule type="cellIs" dxfId="2" priority="11" operator="equal">
      <formula>2</formula>
    </cfRule>
    <cfRule type="cellIs" dxfId="1" priority="12" operator="equal">
      <formula>1</formula>
    </cfRule>
  </conditionalFormatting>
  <conditionalFormatting sqref="N8:N17 G2">
    <cfRule type="cellIs" dxfId="0" priority="2" operator="between">
      <formula>18</formula>
      <formula>30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0C8983DE-F238-5843-90D8-130736DF275A}">
            <x14:iconSet iconSet="3Sign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Signs" iconId="1"/>
              <x14:cfIcon iconSet="3Signs" iconId="0"/>
            </x14:iconSet>
          </x14:cfRule>
          <xm:sqref>J8:K17 M8:M17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STAKEHOLDER Mngm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Sawicki</dc:creator>
  <cp:lastModifiedBy>Pawel Sawicki</cp:lastModifiedBy>
  <dcterms:created xsi:type="dcterms:W3CDTF">2025-01-16T09:56:46Z</dcterms:created>
  <dcterms:modified xsi:type="dcterms:W3CDTF">2025-01-16T09:58:37Z</dcterms:modified>
</cp:coreProperties>
</file>